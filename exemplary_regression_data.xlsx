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perigroup-my.sharepoint.com/personal/radoslav_karavangelis_peri_com/Documents/Desktop/GitHub Code/"/>
    </mc:Choice>
  </mc:AlternateContent>
  <xr:revisionPtr revIDLastSave="0" documentId="8_{54CF63C3-0EC3-4B9D-BD38-158B48FA828F}" xr6:coauthVersionLast="47" xr6:coauthVersionMax="47" xr10:uidLastSave="{00000000-0000-0000-0000-000000000000}"/>
  <bookViews>
    <workbookView xWindow="-38520" yWindow="-75" windowWidth="38640" windowHeight="21120" xr2:uid="{0201AE15-358A-4982-BD25-F326B3B2BAFA}"/>
  </bookViews>
  <sheets>
    <sheet name="Tabelle1" sheetId="1" r:id="rId1"/>
  </sheets>
  <externalReferences>
    <externalReference r:id="rId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P34" i="1" l="1"/>
  <c r="N34" i="1"/>
  <c r="M34" i="1"/>
  <c r="O34" i="1" s="1"/>
  <c r="L34" i="1"/>
  <c r="K34" i="1"/>
  <c r="I34" i="1"/>
  <c r="G34" i="1"/>
  <c r="F34" i="1"/>
  <c r="E34" i="1"/>
  <c r="D34" i="1"/>
  <c r="C34" i="1"/>
  <c r="J34" i="1" s="1"/>
  <c r="B34" i="1"/>
  <c r="P33" i="1"/>
  <c r="N33" i="1"/>
  <c r="M33" i="1"/>
  <c r="O33" i="1" s="1"/>
  <c r="L33" i="1"/>
  <c r="K33" i="1"/>
  <c r="J33" i="1"/>
  <c r="I33" i="1"/>
  <c r="H33" i="1"/>
  <c r="G33" i="1"/>
  <c r="F33" i="1"/>
  <c r="E33" i="1"/>
  <c r="D33" i="1"/>
  <c r="C33" i="1"/>
  <c r="P32" i="1"/>
  <c r="N32" i="1"/>
  <c r="M32" i="1"/>
  <c r="O32" i="1" s="1"/>
  <c r="L32" i="1"/>
  <c r="K32" i="1"/>
  <c r="I32" i="1"/>
  <c r="H32" i="1"/>
  <c r="G32" i="1"/>
  <c r="F32" i="1"/>
  <c r="E32" i="1"/>
  <c r="D32" i="1"/>
  <c r="C32" i="1"/>
  <c r="J32" i="1" s="1"/>
  <c r="P31" i="1"/>
  <c r="N31" i="1"/>
  <c r="M31" i="1"/>
  <c r="O31" i="1" s="1"/>
  <c r="L31" i="1"/>
  <c r="K31" i="1"/>
  <c r="J31" i="1"/>
  <c r="I31" i="1"/>
  <c r="H31" i="1"/>
  <c r="G31" i="1"/>
  <c r="F31" i="1"/>
  <c r="E31" i="1"/>
  <c r="D31" i="1"/>
  <c r="C31" i="1"/>
  <c r="P30" i="1"/>
  <c r="N30" i="1"/>
  <c r="M30" i="1"/>
  <c r="O30" i="1" s="1"/>
  <c r="L30" i="1"/>
  <c r="K30" i="1"/>
  <c r="I30" i="1"/>
  <c r="H30" i="1"/>
  <c r="G30" i="1"/>
  <c r="F30" i="1"/>
  <c r="E30" i="1"/>
  <c r="D30" i="1"/>
  <c r="C30" i="1"/>
  <c r="J30" i="1" s="1"/>
  <c r="P29" i="1"/>
  <c r="N29" i="1"/>
  <c r="M29" i="1"/>
  <c r="O29" i="1" s="1"/>
  <c r="L29" i="1"/>
  <c r="K29" i="1"/>
  <c r="J29" i="1"/>
  <c r="I29" i="1"/>
  <c r="H29" i="1"/>
  <c r="G29" i="1"/>
  <c r="F29" i="1"/>
  <c r="E29" i="1"/>
  <c r="D29" i="1"/>
  <c r="C29" i="1"/>
  <c r="P28" i="1"/>
  <c r="N28" i="1"/>
  <c r="M28" i="1"/>
  <c r="O28" i="1" s="1"/>
  <c r="L28" i="1"/>
  <c r="K28" i="1"/>
  <c r="I28" i="1"/>
  <c r="H28" i="1"/>
  <c r="G28" i="1"/>
  <c r="F28" i="1"/>
  <c r="E28" i="1"/>
  <c r="D28" i="1"/>
  <c r="C28" i="1"/>
  <c r="J28" i="1" s="1"/>
  <c r="P27" i="1"/>
  <c r="N27" i="1"/>
  <c r="M27" i="1"/>
  <c r="O27" i="1" s="1"/>
  <c r="L27" i="1"/>
  <c r="K27" i="1"/>
  <c r="J27" i="1"/>
  <c r="I27" i="1"/>
  <c r="H27" i="1"/>
  <c r="G27" i="1"/>
  <c r="F27" i="1"/>
  <c r="E27" i="1"/>
  <c r="D27" i="1"/>
  <c r="C27" i="1"/>
  <c r="P26" i="1"/>
  <c r="N26" i="1"/>
  <c r="M26" i="1"/>
  <c r="O26" i="1" s="1"/>
  <c r="L26" i="1"/>
  <c r="I26" i="1"/>
  <c r="H26" i="1"/>
  <c r="G26" i="1"/>
  <c r="F26" i="1"/>
  <c r="E26" i="1"/>
  <c r="D26" i="1"/>
  <c r="C26" i="1"/>
  <c r="J26" i="1" s="1"/>
  <c r="P25" i="1"/>
  <c r="O25" i="1"/>
  <c r="N25" i="1"/>
  <c r="M25" i="1"/>
  <c r="L25" i="1"/>
  <c r="K25" i="1"/>
  <c r="J25" i="1"/>
  <c r="I25" i="1"/>
  <c r="H25" i="1"/>
  <c r="G25" i="1"/>
  <c r="F25" i="1"/>
  <c r="E25" i="1"/>
  <c r="D25" i="1"/>
  <c r="C25" i="1"/>
  <c r="P24" i="1"/>
  <c r="N24" i="1"/>
  <c r="M24" i="1"/>
  <c r="O24" i="1" s="1"/>
  <c r="L24" i="1"/>
  <c r="I24" i="1"/>
  <c r="H24" i="1"/>
  <c r="G24" i="1"/>
  <c r="F24" i="1"/>
  <c r="E24" i="1"/>
  <c r="D24" i="1"/>
  <c r="C24" i="1"/>
  <c r="J24" i="1" s="1"/>
  <c r="P23" i="1"/>
  <c r="O23" i="1"/>
  <c r="N23" i="1"/>
  <c r="M23" i="1"/>
  <c r="L23" i="1"/>
  <c r="K23" i="1"/>
  <c r="I23" i="1"/>
  <c r="H23" i="1"/>
  <c r="F23" i="1"/>
  <c r="E23" i="1"/>
  <c r="D23" i="1"/>
  <c r="C23" i="1"/>
  <c r="J23" i="1" s="1"/>
  <c r="P22" i="1"/>
  <c r="N22" i="1"/>
  <c r="M22" i="1"/>
  <c r="O22" i="1" s="1"/>
  <c r="L22" i="1"/>
  <c r="K22" i="1"/>
  <c r="I22" i="1"/>
  <c r="H22" i="1"/>
  <c r="G22" i="1"/>
  <c r="F22" i="1"/>
  <c r="E22" i="1"/>
  <c r="D22" i="1"/>
  <c r="C22" i="1"/>
  <c r="J22" i="1" s="1"/>
  <c r="P21" i="1"/>
  <c r="N21" i="1"/>
  <c r="O21" i="1" s="1"/>
  <c r="M21" i="1"/>
  <c r="L21" i="1"/>
  <c r="K21" i="1"/>
  <c r="I21" i="1"/>
  <c r="H21" i="1"/>
  <c r="G21" i="1"/>
  <c r="F21" i="1"/>
  <c r="E21" i="1"/>
  <c r="D21" i="1"/>
  <c r="C21" i="1"/>
  <c r="J21" i="1" s="1"/>
  <c r="P20" i="1"/>
  <c r="N20" i="1"/>
  <c r="M20" i="1"/>
  <c r="O20" i="1" s="1"/>
  <c r="L20" i="1"/>
  <c r="K20" i="1"/>
  <c r="I20" i="1"/>
  <c r="H20" i="1"/>
  <c r="G20" i="1"/>
  <c r="F20" i="1"/>
  <c r="E20" i="1"/>
  <c r="D20" i="1"/>
  <c r="C20" i="1"/>
  <c r="J20" i="1" s="1"/>
  <c r="P19" i="1"/>
  <c r="N19" i="1"/>
  <c r="O19" i="1" s="1"/>
  <c r="M19" i="1"/>
  <c r="L19" i="1"/>
  <c r="K19" i="1"/>
  <c r="I19" i="1"/>
  <c r="H19" i="1"/>
  <c r="G19" i="1"/>
  <c r="F19" i="1"/>
  <c r="E19" i="1"/>
  <c r="D19" i="1"/>
  <c r="C19" i="1"/>
  <c r="J19" i="1" s="1"/>
  <c r="P18" i="1"/>
  <c r="N18" i="1"/>
  <c r="M18" i="1"/>
  <c r="O18" i="1" s="1"/>
  <c r="L18" i="1"/>
  <c r="K18" i="1"/>
  <c r="I18" i="1"/>
  <c r="H18" i="1"/>
  <c r="G18" i="1"/>
  <c r="F18" i="1"/>
  <c r="E18" i="1"/>
  <c r="D18" i="1"/>
  <c r="C18" i="1"/>
  <c r="J18" i="1" s="1"/>
  <c r="P17" i="1"/>
  <c r="N17" i="1"/>
  <c r="O17" i="1" s="1"/>
  <c r="M17" i="1"/>
  <c r="L17" i="1"/>
  <c r="J17" i="1"/>
  <c r="I17" i="1"/>
  <c r="H17" i="1"/>
  <c r="F17" i="1"/>
  <c r="E17" i="1"/>
  <c r="D17" i="1"/>
  <c r="C17" i="1"/>
  <c r="P16" i="1"/>
  <c r="N16" i="1"/>
  <c r="O16" i="1" s="1"/>
  <c r="M16" i="1"/>
  <c r="L16" i="1"/>
  <c r="K16" i="1"/>
  <c r="I16" i="1"/>
  <c r="H16" i="1"/>
  <c r="G16" i="1"/>
  <c r="F16" i="1"/>
  <c r="E16" i="1"/>
  <c r="D16" i="1"/>
  <c r="C16" i="1"/>
  <c r="P15" i="1"/>
  <c r="N15" i="1"/>
  <c r="M15" i="1"/>
  <c r="O15" i="1" s="1"/>
  <c r="L15" i="1"/>
  <c r="K15" i="1"/>
  <c r="J15" i="1"/>
  <c r="I15" i="1"/>
  <c r="H15" i="1"/>
  <c r="G15" i="1"/>
  <c r="F15" i="1"/>
  <c r="E15" i="1"/>
  <c r="D15" i="1"/>
  <c r="C15" i="1"/>
  <c r="P14" i="1"/>
  <c r="N14" i="1"/>
  <c r="M14" i="1"/>
  <c r="O14" i="1" s="1"/>
  <c r="L14" i="1"/>
  <c r="K14" i="1"/>
  <c r="I14" i="1"/>
  <c r="H14" i="1"/>
  <c r="G14" i="1"/>
  <c r="F14" i="1"/>
  <c r="E14" i="1"/>
  <c r="D14" i="1"/>
  <c r="C14" i="1"/>
  <c r="J14" i="1" s="1"/>
  <c r="P13" i="1"/>
  <c r="N13" i="1"/>
  <c r="M13" i="1"/>
  <c r="O13" i="1" s="1"/>
  <c r="L13" i="1"/>
  <c r="K13" i="1"/>
  <c r="J13" i="1"/>
  <c r="I13" i="1"/>
  <c r="H13" i="1"/>
  <c r="G13" i="1"/>
  <c r="F13" i="1"/>
  <c r="E13" i="1"/>
  <c r="D13" i="1"/>
  <c r="C13" i="1"/>
  <c r="P12" i="1"/>
  <c r="N12" i="1"/>
  <c r="M12" i="1"/>
  <c r="O12" i="1" s="1"/>
  <c r="L12" i="1"/>
  <c r="K12" i="1"/>
  <c r="I12" i="1"/>
  <c r="H12" i="1"/>
  <c r="G12" i="1"/>
  <c r="F12" i="1"/>
  <c r="E12" i="1"/>
  <c r="D12" i="1"/>
  <c r="C12" i="1"/>
  <c r="J12" i="1" s="1"/>
  <c r="P11" i="1"/>
  <c r="N11" i="1"/>
  <c r="M11" i="1"/>
  <c r="O11" i="1" s="1"/>
  <c r="L11" i="1"/>
  <c r="K11" i="1"/>
  <c r="J11" i="1"/>
  <c r="H11" i="1"/>
  <c r="G11" i="1"/>
  <c r="F11" i="1"/>
  <c r="E11" i="1"/>
  <c r="D11" i="1"/>
  <c r="C11" i="1"/>
  <c r="P10" i="1"/>
  <c r="N10" i="1"/>
  <c r="M10" i="1"/>
  <c r="O10" i="1" s="1"/>
  <c r="L10" i="1"/>
  <c r="K10" i="1"/>
  <c r="I10" i="1"/>
  <c r="H10" i="1"/>
  <c r="G10" i="1"/>
  <c r="F10" i="1"/>
  <c r="E10" i="1"/>
  <c r="D10" i="1"/>
  <c r="C10" i="1"/>
  <c r="J10" i="1" s="1"/>
  <c r="P9" i="1"/>
  <c r="N9" i="1"/>
  <c r="M9" i="1"/>
  <c r="O9" i="1" s="1"/>
  <c r="L9" i="1"/>
  <c r="K9" i="1"/>
  <c r="J9" i="1"/>
  <c r="I9" i="1"/>
  <c r="H9" i="1"/>
  <c r="G9" i="1"/>
  <c r="F9" i="1"/>
  <c r="E9" i="1"/>
  <c r="D9" i="1"/>
  <c r="C9" i="1"/>
  <c r="P8" i="1"/>
  <c r="N8" i="1"/>
  <c r="M8" i="1"/>
  <c r="O8" i="1" s="1"/>
  <c r="L8" i="1"/>
  <c r="K8" i="1"/>
  <c r="I8" i="1"/>
  <c r="H8" i="1"/>
  <c r="G8" i="1"/>
  <c r="F8" i="1"/>
  <c r="E8" i="1"/>
  <c r="D8" i="1"/>
  <c r="C8" i="1"/>
  <c r="J8" i="1" s="1"/>
  <c r="P7" i="1"/>
  <c r="N7" i="1"/>
  <c r="M7" i="1"/>
  <c r="O7" i="1" s="1"/>
  <c r="L7" i="1"/>
  <c r="K7" i="1"/>
  <c r="J7" i="1"/>
  <c r="I7" i="1"/>
  <c r="H7" i="1"/>
  <c r="G7" i="1"/>
  <c r="F7" i="1"/>
  <c r="E7" i="1"/>
  <c r="D7" i="1"/>
  <c r="C7" i="1"/>
  <c r="P6" i="1"/>
  <c r="N6" i="1"/>
  <c r="M6" i="1"/>
  <c r="O6" i="1" s="1"/>
  <c r="L6" i="1"/>
  <c r="K6" i="1"/>
  <c r="I6" i="1"/>
  <c r="H6" i="1"/>
  <c r="G6" i="1"/>
  <c r="F6" i="1"/>
  <c r="E6" i="1"/>
  <c r="D6" i="1"/>
  <c r="C6" i="1"/>
  <c r="J6" i="1" s="1"/>
  <c r="P5" i="1"/>
  <c r="N5" i="1"/>
  <c r="M5" i="1"/>
  <c r="O5" i="1" s="1"/>
  <c r="L5" i="1"/>
  <c r="K5" i="1"/>
  <c r="J5" i="1"/>
  <c r="I5" i="1"/>
  <c r="H5" i="1"/>
  <c r="G5" i="1"/>
  <c r="F5" i="1"/>
  <c r="E5" i="1"/>
  <c r="D5" i="1"/>
  <c r="C5" i="1"/>
  <c r="P4" i="1"/>
  <c r="N4" i="1"/>
  <c r="M4" i="1"/>
  <c r="O4" i="1" s="1"/>
  <c r="L4" i="1"/>
  <c r="K4" i="1"/>
  <c r="I4" i="1"/>
  <c r="H4" i="1"/>
  <c r="G4" i="1"/>
  <c r="F4" i="1"/>
  <c r="E4" i="1"/>
  <c r="D4" i="1"/>
  <c r="C4" i="1"/>
  <c r="J4" i="1" s="1"/>
  <c r="P3" i="1"/>
  <c r="N3" i="1"/>
  <c r="M3" i="1"/>
  <c r="O3" i="1" s="1"/>
  <c r="L3" i="1"/>
  <c r="K3" i="1"/>
  <c r="J3" i="1"/>
  <c r="I3" i="1"/>
  <c r="H3" i="1"/>
  <c r="G3" i="1"/>
  <c r="F3" i="1"/>
  <c r="E3" i="1"/>
  <c r="D3" i="1"/>
  <c r="C3" i="1"/>
  <c r="P2" i="1"/>
  <c r="N2" i="1"/>
  <c r="M2" i="1"/>
  <c r="O2" i="1" s="1"/>
  <c r="L2" i="1"/>
  <c r="K2" i="1"/>
  <c r="I2" i="1"/>
  <c r="H2" i="1"/>
  <c r="G2" i="1"/>
  <c r="F2" i="1"/>
  <c r="E2" i="1"/>
  <c r="D2" i="1"/>
  <c r="C2" i="1"/>
  <c r="J2" i="1" s="1"/>
</calcChain>
</file>

<file path=xl/sharedStrings.xml><?xml version="1.0" encoding="utf-8"?>
<sst xmlns="http://schemas.openxmlformats.org/spreadsheetml/2006/main" count="49" uniqueCount="49">
  <si>
    <t>Country</t>
  </si>
  <si>
    <t>Total Bridges #</t>
  </si>
  <si>
    <t>Population (2024)</t>
  </si>
  <si>
    <t>Land Area (SQKM)</t>
  </si>
  <si>
    <t>Urban Population (2024)</t>
  </si>
  <si>
    <t>Vehicles per country</t>
  </si>
  <si>
    <t>Number of Households</t>
  </si>
  <si>
    <t>C02 Emissions (tons, 2022)</t>
  </si>
  <si>
    <t>Number of Airports</t>
  </si>
  <si>
    <t>Renewable Energies (KWH)</t>
  </si>
  <si>
    <t>Waterways</t>
  </si>
  <si>
    <t>Road &amp; Rail Volumes (18-23 real)</t>
  </si>
  <si>
    <t>Rail Network (km)</t>
  </si>
  <si>
    <t>Road Network (km)</t>
  </si>
  <si>
    <t>Total Network (km)</t>
  </si>
  <si>
    <t>Cement Consumption (Mt)</t>
  </si>
  <si>
    <t>United States</t>
  </si>
  <si>
    <t>China</t>
  </si>
  <si>
    <t>Germany</t>
  </si>
  <si>
    <t>United Kingdom</t>
  </si>
  <si>
    <t>France</t>
  </si>
  <si>
    <t>Brazil</t>
  </si>
  <si>
    <t>Canada</t>
  </si>
  <si>
    <t>Russia</t>
  </si>
  <si>
    <t>Mexico</t>
  </si>
  <si>
    <t>South Korea</t>
  </si>
  <si>
    <t>Australia</t>
  </si>
  <si>
    <t>Spain</t>
  </si>
  <si>
    <t>Indonesia</t>
  </si>
  <si>
    <t>Netherlands</t>
  </si>
  <si>
    <t>Switzerland</t>
  </si>
  <si>
    <t>Taiwan</t>
  </si>
  <si>
    <t>Belgium</t>
  </si>
  <si>
    <t>Sweden</t>
  </si>
  <si>
    <t>Norway</t>
  </si>
  <si>
    <t>Austria</t>
  </si>
  <si>
    <t>Malaysia</t>
  </si>
  <si>
    <t>Denmark</t>
  </si>
  <si>
    <t>South Africa</t>
  </si>
  <si>
    <t>Romania</t>
  </si>
  <si>
    <t>Chile</t>
  </si>
  <si>
    <t>Czech Republic</t>
  </si>
  <si>
    <t>Finland</t>
  </si>
  <si>
    <t>Portugal</t>
  </si>
  <si>
    <t>Greece</t>
  </si>
  <si>
    <t>Ukraine</t>
  </si>
  <si>
    <t>Slovakia</t>
  </si>
  <si>
    <t>Lithuania</t>
  </si>
  <si>
    <t>Serbia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</si>
</sst>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3" x14ac:knownFonts="1">
    <font>
      <sz val="10"/>
      <color theme="1"/>
      <name val="Arial"/>
      <family val="2"/>
    </font>
    <font>
      <sz val="10"/>
      <color theme="1"/>
      <name val="Arial"/>
      <family val="2"/>
    </font>
    <font>
      <sz val="10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4">
    <xf numFmtId="0" fontId="0" fillId="0" borderId="0" xfId="0"/>
    <xf numFmtId="0" fontId="2" fillId="0" borderId="0" xfId="0" applyFont="1"/>
    <xf numFmtId="164" fontId="2" fillId="0" borderId="0" xfId="1" applyNumberFormat="1" applyFont="1" applyFill="1" applyBorder="1"/>
    <xf numFmtId="164" fontId="0" fillId="0" borderId="0" xfId="1" applyNumberFormat="1" applyFont="1"/>
  </cellXfs>
  <cellStyles count="2">
    <cellStyle name="Komma" xfId="1" builtinId="3"/>
    <cellStyle name="Standard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perigroup-my.sharepoint.com/personal/radoslav_karavangelis_peri_com/Documents/Desktop/GitHub%20Code/2024_07_Variables%20Analysis.xlsx" TargetMode="External"/><Relationship Id="rId1" Type="http://schemas.openxmlformats.org/officeDocument/2006/relationships/externalLinkPath" Target="2024_07_Variables%20Analysi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0.0 Model Evaluation"/>
      <sheetName val="FW Material Demand"/>
      <sheetName val="Variables Data"/>
      <sheetName val="0.0 Sources"/>
      <sheetName val="1.0 Small Country Analysis"/>
      <sheetName val="1.2 Total Number of Bridges"/>
      <sheetName val="1.3 Pipeline"/>
      <sheetName val="1.4 Comp. Pipeline vs. Model"/>
      <sheetName val="2.0 Tech Analysis Countries"/>
      <sheetName val="2.2 Tech Shares"/>
      <sheetName val="2.3 Tech Estimation"/>
      <sheetName val="3.1 Prices"/>
      <sheetName val="3.2 Price Calculation"/>
      <sheetName val="3.0 Objectives"/>
      <sheetName val="2.0 Variables Analysis - Good"/>
      <sheetName val="2.1 Variables Analysis - OK"/>
      <sheetName val="Road &amp; Rail Volumes &lt;24"/>
      <sheetName val="WEO_all_adjusted"/>
      <sheetName val="Road &amp; Rail &gt;=24"/>
      <sheetName val="Cement Consumption"/>
      <sheetName val="Road Network"/>
      <sheetName val="Rail Network"/>
      <sheetName val="Population"/>
      <sheetName val="Vehicles per country"/>
      <sheetName val="Number of Households"/>
      <sheetName val="C02 Emissionen"/>
      <sheetName val="Airports"/>
      <sheetName val="Renewable Energy per capita"/>
      <sheetName val="Waterway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>
        <row r="1">
          <cell r="A1" t="str">
            <v>Country</v>
          </cell>
          <cell r="E1" t="str">
            <v>Output Value (real) (million US$)</v>
          </cell>
        </row>
        <row r="2">
          <cell r="A2" t="str">
            <v>Algeria</v>
          </cell>
          <cell r="E2">
            <v>1048.3499999999999</v>
          </cell>
        </row>
        <row r="3">
          <cell r="A3" t="str">
            <v>Algeria</v>
          </cell>
          <cell r="E3">
            <v>108.15</v>
          </cell>
        </row>
        <row r="4">
          <cell r="A4" t="str">
            <v>Algeria</v>
          </cell>
          <cell r="E4">
            <v>2245.6799999999998</v>
          </cell>
        </row>
        <row r="5">
          <cell r="A5" t="str">
            <v>Algeria</v>
          </cell>
          <cell r="E5">
            <v>230.89</v>
          </cell>
        </row>
        <row r="6">
          <cell r="A6" t="str">
            <v>Algeria</v>
          </cell>
          <cell r="E6">
            <v>1040.8800000000001</v>
          </cell>
        </row>
        <row r="7">
          <cell r="A7" t="str">
            <v>Algeria</v>
          </cell>
          <cell r="E7">
            <v>107.39</v>
          </cell>
        </row>
        <row r="8">
          <cell r="A8" t="str">
            <v>Algeria</v>
          </cell>
          <cell r="E8">
            <v>2192.37</v>
          </cell>
        </row>
        <row r="9">
          <cell r="A9" t="str">
            <v>Algeria</v>
          </cell>
          <cell r="E9">
            <v>225.28</v>
          </cell>
        </row>
        <row r="10">
          <cell r="A10" t="str">
            <v>Algeria</v>
          </cell>
          <cell r="E10">
            <v>1110.08</v>
          </cell>
        </row>
        <row r="11">
          <cell r="A11" t="str">
            <v>Algeria</v>
          </cell>
          <cell r="E11">
            <v>114.67</v>
          </cell>
        </row>
        <row r="12">
          <cell r="A12" t="str">
            <v>Algeria</v>
          </cell>
          <cell r="E12">
            <v>2324.69</v>
          </cell>
        </row>
        <row r="13">
          <cell r="A13" t="str">
            <v>Algeria</v>
          </cell>
          <cell r="E13">
            <v>239.11</v>
          </cell>
        </row>
        <row r="14">
          <cell r="A14" t="str">
            <v>Algeria</v>
          </cell>
          <cell r="E14">
            <v>1170.0899999999999</v>
          </cell>
        </row>
        <row r="15">
          <cell r="A15" t="str">
            <v>Algeria</v>
          </cell>
          <cell r="E15">
            <v>121.68</v>
          </cell>
        </row>
        <row r="16">
          <cell r="A16" t="str">
            <v>Algeria</v>
          </cell>
          <cell r="E16">
            <v>2426.04</v>
          </cell>
        </row>
        <row r="17">
          <cell r="A17" t="str">
            <v>Algeria</v>
          </cell>
          <cell r="E17">
            <v>251.41</v>
          </cell>
        </row>
        <row r="18">
          <cell r="A18" t="str">
            <v>Algeria</v>
          </cell>
          <cell r="E18">
            <v>1226.3900000000001</v>
          </cell>
        </row>
        <row r="19">
          <cell r="A19" t="str">
            <v>Algeria</v>
          </cell>
          <cell r="E19">
            <v>127.35</v>
          </cell>
        </row>
        <row r="20">
          <cell r="A20" t="str">
            <v>Algeria</v>
          </cell>
          <cell r="E20">
            <v>2592</v>
          </cell>
        </row>
        <row r="21">
          <cell r="A21" t="str">
            <v>Algeria</v>
          </cell>
          <cell r="E21">
            <v>268.43</v>
          </cell>
        </row>
        <row r="22">
          <cell r="A22" t="str">
            <v>Angola</v>
          </cell>
          <cell r="E22">
            <v>112.32</v>
          </cell>
        </row>
        <row r="23">
          <cell r="A23" t="str">
            <v>Angola</v>
          </cell>
          <cell r="E23">
            <v>34.67</v>
          </cell>
        </row>
        <row r="24">
          <cell r="A24" t="str">
            <v>Angola</v>
          </cell>
          <cell r="E24">
            <v>484.85</v>
          </cell>
        </row>
        <row r="25">
          <cell r="A25" t="str">
            <v>Angola</v>
          </cell>
          <cell r="E25">
            <v>149.63999999999999</v>
          </cell>
        </row>
        <row r="26">
          <cell r="A26" t="str">
            <v>Angola</v>
          </cell>
          <cell r="E26">
            <v>83.58</v>
          </cell>
        </row>
        <row r="27">
          <cell r="A27" t="str">
            <v>Angola</v>
          </cell>
          <cell r="E27">
            <v>25.77</v>
          </cell>
        </row>
        <row r="28">
          <cell r="A28" t="str">
            <v>Angola</v>
          </cell>
          <cell r="E28">
            <v>357.61</v>
          </cell>
        </row>
        <row r="29">
          <cell r="A29" t="str">
            <v>Angola</v>
          </cell>
          <cell r="E29">
            <v>110.22</v>
          </cell>
        </row>
        <row r="30">
          <cell r="A30" t="str">
            <v>Angola</v>
          </cell>
          <cell r="E30">
            <v>79.709999999999994</v>
          </cell>
        </row>
        <row r="31">
          <cell r="A31" t="str">
            <v>Angola</v>
          </cell>
          <cell r="E31">
            <v>24.52</v>
          </cell>
        </row>
        <row r="32">
          <cell r="A32" t="str">
            <v>Angola</v>
          </cell>
          <cell r="E32">
            <v>338.46</v>
          </cell>
        </row>
        <row r="33">
          <cell r="A33" t="str">
            <v>Angola</v>
          </cell>
          <cell r="E33">
            <v>104.18</v>
          </cell>
        </row>
        <row r="34">
          <cell r="A34" t="str">
            <v>Angola</v>
          </cell>
          <cell r="E34">
            <v>87.73</v>
          </cell>
        </row>
        <row r="35">
          <cell r="A35" t="str">
            <v>Angola</v>
          </cell>
          <cell r="E35">
            <v>27.19</v>
          </cell>
        </row>
        <row r="36">
          <cell r="A36" t="str">
            <v>Angola</v>
          </cell>
          <cell r="E36">
            <v>355.78</v>
          </cell>
        </row>
        <row r="37">
          <cell r="A37" t="str">
            <v>Angola</v>
          </cell>
          <cell r="E37">
            <v>110.56</v>
          </cell>
        </row>
        <row r="38">
          <cell r="A38" t="str">
            <v>Angola</v>
          </cell>
          <cell r="E38">
            <v>86.64</v>
          </cell>
        </row>
        <row r="39">
          <cell r="A39" t="str">
            <v>Angola</v>
          </cell>
          <cell r="E39">
            <v>26.84</v>
          </cell>
        </row>
        <row r="40">
          <cell r="A40" t="str">
            <v>Angola</v>
          </cell>
          <cell r="E40">
            <v>345.05</v>
          </cell>
        </row>
        <row r="41">
          <cell r="A41" t="str">
            <v>Angola</v>
          </cell>
          <cell r="E41">
            <v>107.16</v>
          </cell>
        </row>
        <row r="42">
          <cell r="A42" t="str">
            <v>Argentina</v>
          </cell>
          <cell r="E42">
            <v>393.22</v>
          </cell>
        </row>
        <row r="43">
          <cell r="A43" t="str">
            <v>Argentina</v>
          </cell>
          <cell r="E43">
            <v>112.8</v>
          </cell>
        </row>
        <row r="44">
          <cell r="A44" t="str">
            <v>Argentina</v>
          </cell>
          <cell r="E44">
            <v>3458.14</v>
          </cell>
        </row>
        <row r="45">
          <cell r="A45" t="str">
            <v>Argentina</v>
          </cell>
          <cell r="E45">
            <v>1055.25</v>
          </cell>
        </row>
        <row r="46">
          <cell r="A46" t="str">
            <v>Argentina</v>
          </cell>
          <cell r="E46">
            <v>338.49</v>
          </cell>
        </row>
        <row r="47">
          <cell r="A47" t="str">
            <v>Argentina</v>
          </cell>
          <cell r="E47">
            <v>96.99</v>
          </cell>
        </row>
        <row r="48">
          <cell r="A48" t="str">
            <v>Argentina</v>
          </cell>
          <cell r="E48">
            <v>2812.21</v>
          </cell>
        </row>
        <row r="49">
          <cell r="A49" t="str">
            <v>Argentina</v>
          </cell>
          <cell r="E49">
            <v>856.91</v>
          </cell>
        </row>
        <row r="50">
          <cell r="A50" t="str">
            <v>Argentina</v>
          </cell>
          <cell r="E50">
            <v>435.26</v>
          </cell>
        </row>
        <row r="51">
          <cell r="A51" t="str">
            <v>Argentina</v>
          </cell>
          <cell r="E51">
            <v>124.49</v>
          </cell>
        </row>
        <row r="52">
          <cell r="A52" t="str">
            <v>Argentina</v>
          </cell>
          <cell r="E52">
            <v>3696.25</v>
          </cell>
        </row>
        <row r="53">
          <cell r="A53" t="str">
            <v>Argentina</v>
          </cell>
          <cell r="E53">
            <v>1124.31</v>
          </cell>
        </row>
        <row r="54">
          <cell r="A54" t="str">
            <v>Argentina</v>
          </cell>
          <cell r="E54">
            <v>457.38</v>
          </cell>
        </row>
        <row r="55">
          <cell r="A55" t="str">
            <v>Argentina</v>
          </cell>
          <cell r="E55">
            <v>130.57</v>
          </cell>
        </row>
        <row r="56">
          <cell r="A56" t="str">
            <v>Argentina</v>
          </cell>
          <cell r="E56">
            <v>3864.12</v>
          </cell>
        </row>
        <row r="57">
          <cell r="A57" t="str">
            <v>Argentina</v>
          </cell>
          <cell r="E57">
            <v>1175.6600000000001</v>
          </cell>
        </row>
        <row r="58">
          <cell r="A58" t="str">
            <v>Argentina</v>
          </cell>
          <cell r="E58">
            <v>447.92</v>
          </cell>
        </row>
        <row r="59">
          <cell r="A59" t="str">
            <v>Argentina</v>
          </cell>
          <cell r="E59">
            <v>127.8</v>
          </cell>
        </row>
        <row r="60">
          <cell r="A60" t="str">
            <v>Argentina</v>
          </cell>
          <cell r="E60">
            <v>3806.34</v>
          </cell>
        </row>
        <row r="61">
          <cell r="A61" t="str">
            <v>Argentina</v>
          </cell>
          <cell r="E61">
            <v>1157.74</v>
          </cell>
        </row>
        <row r="62">
          <cell r="A62" t="str">
            <v>Australia</v>
          </cell>
          <cell r="E62">
            <v>3226.35</v>
          </cell>
        </row>
        <row r="63">
          <cell r="A63" t="str">
            <v>Australia</v>
          </cell>
          <cell r="E63">
            <v>1252.1500000000001</v>
          </cell>
        </row>
        <row r="64">
          <cell r="A64" t="str">
            <v>Australia</v>
          </cell>
          <cell r="E64">
            <v>7925.54</v>
          </cell>
        </row>
        <row r="65">
          <cell r="A65" t="str">
            <v>Australia</v>
          </cell>
          <cell r="E65">
            <v>3034.74</v>
          </cell>
        </row>
        <row r="66">
          <cell r="A66" t="str">
            <v>Australia</v>
          </cell>
          <cell r="E66">
            <v>3628.67</v>
          </cell>
        </row>
        <row r="67">
          <cell r="A67" t="str">
            <v>Australia</v>
          </cell>
          <cell r="E67">
            <v>1410.03</v>
          </cell>
        </row>
        <row r="68">
          <cell r="A68" t="str">
            <v>Australia</v>
          </cell>
          <cell r="E68">
            <v>7592.61</v>
          </cell>
        </row>
        <row r="69">
          <cell r="A69" t="str">
            <v>Australia</v>
          </cell>
          <cell r="E69">
            <v>2914.78</v>
          </cell>
        </row>
        <row r="70">
          <cell r="A70" t="str">
            <v>Australia</v>
          </cell>
          <cell r="E70">
            <v>4311.63</v>
          </cell>
        </row>
        <row r="71">
          <cell r="A71" t="str">
            <v>Australia</v>
          </cell>
          <cell r="E71">
            <v>1673.62</v>
          </cell>
        </row>
        <row r="72">
          <cell r="A72" t="str">
            <v>Australia</v>
          </cell>
          <cell r="E72">
            <v>7961.61</v>
          </cell>
        </row>
        <row r="73">
          <cell r="A73" t="str">
            <v>Australia</v>
          </cell>
          <cell r="E73">
            <v>3039.15</v>
          </cell>
        </row>
        <row r="74">
          <cell r="A74" t="str">
            <v>Australia</v>
          </cell>
          <cell r="E74">
            <v>4464.29</v>
          </cell>
        </row>
        <row r="75">
          <cell r="A75" t="str">
            <v>Australia</v>
          </cell>
          <cell r="E75">
            <v>1739.26</v>
          </cell>
        </row>
        <row r="76">
          <cell r="A76" t="str">
            <v>Australia</v>
          </cell>
          <cell r="E76">
            <v>9048.5</v>
          </cell>
        </row>
        <row r="77">
          <cell r="A77" t="str">
            <v>Australia</v>
          </cell>
          <cell r="E77">
            <v>3466.51</v>
          </cell>
        </row>
        <row r="78">
          <cell r="A78" t="str">
            <v>Australia</v>
          </cell>
          <cell r="E78">
            <v>5200.22</v>
          </cell>
        </row>
        <row r="79">
          <cell r="A79" t="str">
            <v>Australia</v>
          </cell>
          <cell r="E79">
            <v>2028.85</v>
          </cell>
        </row>
        <row r="80">
          <cell r="A80" t="str">
            <v>Australia</v>
          </cell>
          <cell r="E80">
            <v>10128.68</v>
          </cell>
        </row>
        <row r="81">
          <cell r="A81" t="str">
            <v>Australia</v>
          </cell>
          <cell r="E81">
            <v>3888.84</v>
          </cell>
        </row>
        <row r="82">
          <cell r="A82" t="str">
            <v>Austria</v>
          </cell>
          <cell r="E82">
            <v>554.79999999999995</v>
          </cell>
        </row>
        <row r="83">
          <cell r="A83" t="str">
            <v>Austria</v>
          </cell>
          <cell r="E83">
            <v>142.87</v>
          </cell>
        </row>
        <row r="84">
          <cell r="A84" t="str">
            <v>Austria</v>
          </cell>
          <cell r="E84">
            <v>7091.68</v>
          </cell>
        </row>
        <row r="85">
          <cell r="A85" t="str">
            <v>Austria</v>
          </cell>
          <cell r="E85">
            <v>1823.15</v>
          </cell>
        </row>
        <row r="86">
          <cell r="A86" t="str">
            <v>Austria</v>
          </cell>
          <cell r="E86">
            <v>546.34</v>
          </cell>
        </row>
        <row r="87">
          <cell r="A87" t="str">
            <v>Austria</v>
          </cell>
          <cell r="E87">
            <v>140.69999999999999</v>
          </cell>
        </row>
        <row r="88">
          <cell r="A88" t="str">
            <v>Austria</v>
          </cell>
          <cell r="E88">
            <v>6926.16</v>
          </cell>
        </row>
        <row r="89">
          <cell r="A89" t="str">
            <v>Austria</v>
          </cell>
          <cell r="E89">
            <v>1780.64</v>
          </cell>
        </row>
        <row r="90">
          <cell r="A90" t="str">
            <v>Austria</v>
          </cell>
          <cell r="E90">
            <v>569.85</v>
          </cell>
        </row>
        <row r="91">
          <cell r="A91" t="str">
            <v>Austria</v>
          </cell>
          <cell r="E91">
            <v>146.75</v>
          </cell>
        </row>
        <row r="92">
          <cell r="A92" t="str">
            <v>Austria</v>
          </cell>
          <cell r="E92">
            <v>7091.3</v>
          </cell>
        </row>
        <row r="93">
          <cell r="A93" t="str">
            <v>Austria</v>
          </cell>
          <cell r="E93">
            <v>1823.02</v>
          </cell>
        </row>
        <row r="94">
          <cell r="A94" t="str">
            <v>Austria</v>
          </cell>
          <cell r="E94">
            <v>589.78</v>
          </cell>
        </row>
        <row r="95">
          <cell r="A95" t="str">
            <v>Austria</v>
          </cell>
          <cell r="E95">
            <v>151.88</v>
          </cell>
        </row>
        <row r="96">
          <cell r="A96" t="str">
            <v>Austria</v>
          </cell>
          <cell r="E96">
            <v>7232.65</v>
          </cell>
        </row>
        <row r="97">
          <cell r="A97" t="str">
            <v>Austria</v>
          </cell>
          <cell r="E97">
            <v>1859.37</v>
          </cell>
        </row>
        <row r="98">
          <cell r="A98" t="str">
            <v>Austria</v>
          </cell>
          <cell r="E98">
            <v>615.45000000000005</v>
          </cell>
        </row>
        <row r="99">
          <cell r="A99" t="str">
            <v>Austria</v>
          </cell>
          <cell r="E99">
            <v>158.49</v>
          </cell>
        </row>
        <row r="100">
          <cell r="A100" t="str">
            <v>Austria</v>
          </cell>
          <cell r="E100">
            <v>7443.69</v>
          </cell>
        </row>
        <row r="101">
          <cell r="A101" t="str">
            <v>Austria</v>
          </cell>
          <cell r="E101">
            <v>1913.58</v>
          </cell>
        </row>
        <row r="102">
          <cell r="A102" t="str">
            <v>Azerbaijan</v>
          </cell>
          <cell r="E102">
            <v>601.82000000000005</v>
          </cell>
        </row>
        <row r="103">
          <cell r="A103" t="str">
            <v>Azerbaijan</v>
          </cell>
          <cell r="E103">
            <v>56.89</v>
          </cell>
        </row>
        <row r="104">
          <cell r="A104" t="str">
            <v>Azerbaijan</v>
          </cell>
          <cell r="E104">
            <v>1352.52</v>
          </cell>
        </row>
        <row r="105">
          <cell r="A105" t="str">
            <v>Azerbaijan</v>
          </cell>
          <cell r="E105">
            <v>131.27000000000001</v>
          </cell>
        </row>
        <row r="106">
          <cell r="A106" t="str">
            <v>Azerbaijan</v>
          </cell>
          <cell r="E106">
            <v>278.18</v>
          </cell>
        </row>
        <row r="107">
          <cell r="A107" t="str">
            <v>Azerbaijan</v>
          </cell>
          <cell r="E107">
            <v>26.3</v>
          </cell>
        </row>
        <row r="108">
          <cell r="A108" t="str">
            <v>Azerbaijan</v>
          </cell>
          <cell r="E108">
            <v>1364.9</v>
          </cell>
        </row>
        <row r="109">
          <cell r="A109" t="str">
            <v>Azerbaijan</v>
          </cell>
          <cell r="E109">
            <v>132.47999999999999</v>
          </cell>
        </row>
        <row r="110">
          <cell r="A110" t="str">
            <v>Azerbaijan</v>
          </cell>
          <cell r="E110">
            <v>324.02</v>
          </cell>
        </row>
        <row r="111">
          <cell r="A111" t="str">
            <v>Azerbaijan</v>
          </cell>
          <cell r="E111">
            <v>30.56</v>
          </cell>
        </row>
        <row r="112">
          <cell r="A112" t="str">
            <v>Azerbaijan</v>
          </cell>
          <cell r="E112">
            <v>1740.81</v>
          </cell>
        </row>
        <row r="113">
          <cell r="A113" t="str">
            <v>Azerbaijan</v>
          </cell>
          <cell r="E113">
            <v>168.67</v>
          </cell>
        </row>
        <row r="114">
          <cell r="A114" t="str">
            <v>Azerbaijan</v>
          </cell>
          <cell r="E114">
            <v>452.53</v>
          </cell>
        </row>
        <row r="115">
          <cell r="A115" t="str">
            <v>Azerbaijan</v>
          </cell>
          <cell r="E115">
            <v>43.03</v>
          </cell>
        </row>
        <row r="116">
          <cell r="A116" t="str">
            <v>Azerbaijan</v>
          </cell>
          <cell r="E116">
            <v>1800.61</v>
          </cell>
        </row>
        <row r="117">
          <cell r="A117" t="str">
            <v>Azerbaijan</v>
          </cell>
          <cell r="E117">
            <v>175.86</v>
          </cell>
        </row>
        <row r="118">
          <cell r="A118" t="str">
            <v>Azerbaijan</v>
          </cell>
          <cell r="E118">
            <v>472.46</v>
          </cell>
        </row>
        <row r="119">
          <cell r="A119" t="str">
            <v>Azerbaijan</v>
          </cell>
          <cell r="E119">
            <v>44.89</v>
          </cell>
        </row>
        <row r="120">
          <cell r="A120" t="str">
            <v>Azerbaijan</v>
          </cell>
          <cell r="E120">
            <v>1962.62</v>
          </cell>
        </row>
        <row r="121">
          <cell r="A121" t="str">
            <v>Azerbaijan</v>
          </cell>
          <cell r="E121">
            <v>191.65</v>
          </cell>
        </row>
        <row r="122">
          <cell r="A122" t="str">
            <v>Bahrain</v>
          </cell>
          <cell r="E122">
            <v>0</v>
          </cell>
        </row>
        <row r="123">
          <cell r="A123" t="str">
            <v>Bahrain</v>
          </cell>
          <cell r="E123">
            <v>0</v>
          </cell>
        </row>
        <row r="124">
          <cell r="A124" t="str">
            <v>Bahrain</v>
          </cell>
          <cell r="E124">
            <v>543.6</v>
          </cell>
        </row>
        <row r="125">
          <cell r="A125" t="str">
            <v>Bahrain</v>
          </cell>
          <cell r="E125">
            <v>77.87</v>
          </cell>
        </row>
        <row r="126">
          <cell r="A126" t="str">
            <v>Bahrain</v>
          </cell>
          <cell r="E126">
            <v>0</v>
          </cell>
        </row>
        <row r="127">
          <cell r="A127" t="str">
            <v>Bahrain</v>
          </cell>
          <cell r="E127">
            <v>0</v>
          </cell>
        </row>
        <row r="128">
          <cell r="A128" t="str">
            <v>Bahrain</v>
          </cell>
          <cell r="E128">
            <v>563.79999999999995</v>
          </cell>
        </row>
        <row r="129">
          <cell r="A129" t="str">
            <v>Bahrain</v>
          </cell>
          <cell r="E129">
            <v>80.69</v>
          </cell>
        </row>
        <row r="130">
          <cell r="A130" t="str">
            <v>Bahrain</v>
          </cell>
          <cell r="E130">
            <v>0</v>
          </cell>
        </row>
        <row r="131">
          <cell r="A131" t="str">
            <v>Bahrain</v>
          </cell>
          <cell r="E131">
            <v>0</v>
          </cell>
        </row>
        <row r="132">
          <cell r="A132" t="str">
            <v>Bahrain</v>
          </cell>
          <cell r="E132">
            <v>567.5</v>
          </cell>
        </row>
        <row r="133">
          <cell r="A133" t="str">
            <v>Bahrain</v>
          </cell>
          <cell r="E133">
            <v>81.12</v>
          </cell>
        </row>
        <row r="134">
          <cell r="A134" t="str">
            <v>Bahrain</v>
          </cell>
          <cell r="E134">
            <v>0</v>
          </cell>
        </row>
        <row r="135">
          <cell r="A135" t="str">
            <v>Bahrain</v>
          </cell>
          <cell r="E135">
            <v>0</v>
          </cell>
        </row>
        <row r="136">
          <cell r="A136" t="str">
            <v>Bahrain</v>
          </cell>
          <cell r="E136">
            <v>575.78</v>
          </cell>
        </row>
        <row r="137">
          <cell r="A137" t="str">
            <v>Bahrain</v>
          </cell>
          <cell r="E137">
            <v>82.23</v>
          </cell>
        </row>
        <row r="138">
          <cell r="A138" t="str">
            <v>Bahrain</v>
          </cell>
          <cell r="E138">
            <v>0</v>
          </cell>
        </row>
        <row r="139">
          <cell r="A139" t="str">
            <v>Bahrain</v>
          </cell>
          <cell r="E139">
            <v>0</v>
          </cell>
        </row>
        <row r="140">
          <cell r="A140" t="str">
            <v>Bahrain</v>
          </cell>
          <cell r="E140">
            <v>617.57000000000005</v>
          </cell>
        </row>
        <row r="141">
          <cell r="A141" t="str">
            <v>Bahrain</v>
          </cell>
          <cell r="E141">
            <v>88.52</v>
          </cell>
        </row>
        <row r="142">
          <cell r="A142" t="str">
            <v>Bangladesh</v>
          </cell>
          <cell r="E142">
            <v>4009.83</v>
          </cell>
        </row>
        <row r="143">
          <cell r="A143" t="str">
            <v>Bangladesh</v>
          </cell>
          <cell r="E143">
            <v>393.6</v>
          </cell>
        </row>
        <row r="144">
          <cell r="A144" t="str">
            <v>Bangladesh</v>
          </cell>
          <cell r="E144">
            <v>6506.31</v>
          </cell>
        </row>
        <row r="145">
          <cell r="A145" t="str">
            <v>Bangladesh</v>
          </cell>
          <cell r="E145">
            <v>638.64</v>
          </cell>
        </row>
        <row r="146">
          <cell r="A146" t="str">
            <v>Bangladesh</v>
          </cell>
          <cell r="E146">
            <v>4105.87</v>
          </cell>
        </row>
        <row r="147">
          <cell r="A147" t="str">
            <v>Bangladesh</v>
          </cell>
          <cell r="E147">
            <v>402.45</v>
          </cell>
        </row>
        <row r="148">
          <cell r="A148" t="str">
            <v>Bangladesh</v>
          </cell>
          <cell r="E148">
            <v>6556.98</v>
          </cell>
        </row>
        <row r="149">
          <cell r="A149" t="str">
            <v>Bangladesh</v>
          </cell>
          <cell r="E149">
            <v>642.71</v>
          </cell>
        </row>
        <row r="150">
          <cell r="A150" t="str">
            <v>Bangladesh</v>
          </cell>
          <cell r="E150">
            <v>4901.49</v>
          </cell>
        </row>
        <row r="151">
          <cell r="A151" t="str">
            <v>Bangladesh</v>
          </cell>
          <cell r="E151">
            <v>479.32</v>
          </cell>
        </row>
        <row r="152">
          <cell r="A152" t="str">
            <v>Bangladesh</v>
          </cell>
          <cell r="E152">
            <v>7509.93</v>
          </cell>
        </row>
        <row r="153">
          <cell r="A153" t="str">
            <v>Bangladesh</v>
          </cell>
          <cell r="E153">
            <v>734.4</v>
          </cell>
        </row>
        <row r="154">
          <cell r="A154" t="str">
            <v>Bangladesh</v>
          </cell>
          <cell r="E154">
            <v>5174.58</v>
          </cell>
        </row>
        <row r="155">
          <cell r="A155" t="str">
            <v>Bangladesh</v>
          </cell>
          <cell r="E155">
            <v>506.41</v>
          </cell>
        </row>
        <row r="156">
          <cell r="A156" t="str">
            <v>Bangladesh</v>
          </cell>
          <cell r="E156">
            <v>7765.43</v>
          </cell>
        </row>
        <row r="157">
          <cell r="A157" t="str">
            <v>Bangladesh</v>
          </cell>
          <cell r="E157">
            <v>759</v>
          </cell>
        </row>
        <row r="158">
          <cell r="A158" t="str">
            <v>Bangladesh</v>
          </cell>
          <cell r="E158">
            <v>5874.09</v>
          </cell>
        </row>
        <row r="159">
          <cell r="A159" t="str">
            <v>Bangladesh</v>
          </cell>
          <cell r="E159">
            <v>574.46</v>
          </cell>
        </row>
        <row r="160">
          <cell r="A160" t="str">
            <v>Bangladesh</v>
          </cell>
          <cell r="E160">
            <v>8308.8700000000008</v>
          </cell>
        </row>
        <row r="161">
          <cell r="A161" t="str">
            <v>Bangladesh</v>
          </cell>
          <cell r="E161">
            <v>811.61</v>
          </cell>
        </row>
        <row r="162">
          <cell r="A162" t="str">
            <v>Belarus</v>
          </cell>
          <cell r="E162">
            <v>125.92</v>
          </cell>
        </row>
        <row r="163">
          <cell r="A163" t="str">
            <v>Belarus</v>
          </cell>
          <cell r="E163">
            <v>10.75</v>
          </cell>
        </row>
        <row r="164">
          <cell r="A164" t="str">
            <v>Belarus</v>
          </cell>
          <cell r="E164">
            <v>717.21</v>
          </cell>
        </row>
        <row r="165">
          <cell r="A165" t="str">
            <v>Belarus</v>
          </cell>
          <cell r="E165">
            <v>326.64999999999998</v>
          </cell>
        </row>
        <row r="166">
          <cell r="A166" t="str">
            <v>Belarus</v>
          </cell>
          <cell r="E166">
            <v>133.82</v>
          </cell>
        </row>
        <row r="167">
          <cell r="A167" t="str">
            <v>Belarus</v>
          </cell>
          <cell r="E167">
            <v>11.42</v>
          </cell>
        </row>
        <row r="168">
          <cell r="A168" t="str">
            <v>Belarus</v>
          </cell>
          <cell r="E168">
            <v>749.67</v>
          </cell>
        </row>
        <row r="169">
          <cell r="A169" t="str">
            <v>Belarus</v>
          </cell>
          <cell r="E169">
            <v>341.17</v>
          </cell>
        </row>
        <row r="170">
          <cell r="A170" t="str">
            <v>Belarus</v>
          </cell>
          <cell r="E170">
            <v>116.98</v>
          </cell>
        </row>
        <row r="171">
          <cell r="A171" t="str">
            <v>Belarus</v>
          </cell>
          <cell r="E171">
            <v>9.9600000000000009</v>
          </cell>
        </row>
        <row r="172">
          <cell r="A172" t="str">
            <v>Belarus</v>
          </cell>
          <cell r="E172">
            <v>651.64</v>
          </cell>
        </row>
        <row r="173">
          <cell r="A173" t="str">
            <v>Belarus</v>
          </cell>
          <cell r="E173">
            <v>296.22000000000003</v>
          </cell>
        </row>
        <row r="174">
          <cell r="A174" t="str">
            <v>Belarus</v>
          </cell>
          <cell r="E174">
            <v>104.48</v>
          </cell>
        </row>
        <row r="175">
          <cell r="A175" t="str">
            <v>Belarus</v>
          </cell>
          <cell r="E175">
            <v>8.9600000000000009</v>
          </cell>
        </row>
        <row r="176">
          <cell r="A176" t="str">
            <v>Belarus</v>
          </cell>
          <cell r="E176">
            <v>582.16</v>
          </cell>
        </row>
        <row r="177">
          <cell r="A177" t="str">
            <v>Belarus</v>
          </cell>
          <cell r="E177">
            <v>266.36</v>
          </cell>
        </row>
        <row r="178">
          <cell r="A178" t="str">
            <v>Belarus</v>
          </cell>
          <cell r="E178">
            <v>117.57</v>
          </cell>
        </row>
        <row r="179">
          <cell r="A179" t="str">
            <v>Belarus</v>
          </cell>
          <cell r="E179">
            <v>10.07</v>
          </cell>
        </row>
        <row r="180">
          <cell r="A180" t="str">
            <v>Belarus</v>
          </cell>
          <cell r="E180">
            <v>657.73</v>
          </cell>
        </row>
        <row r="181">
          <cell r="A181" t="str">
            <v>Belarus</v>
          </cell>
          <cell r="E181">
            <v>300.74</v>
          </cell>
        </row>
        <row r="182">
          <cell r="A182" t="str">
            <v>Belgium</v>
          </cell>
          <cell r="E182">
            <v>440.68</v>
          </cell>
        </row>
        <row r="183">
          <cell r="A183" t="str">
            <v>Belgium</v>
          </cell>
          <cell r="E183">
            <v>182.03</v>
          </cell>
        </row>
        <row r="184">
          <cell r="A184" t="str">
            <v>Belgium</v>
          </cell>
          <cell r="E184">
            <v>4391.21</v>
          </cell>
        </row>
        <row r="185">
          <cell r="A185" t="str">
            <v>Belgium</v>
          </cell>
          <cell r="E185">
            <v>1823.04</v>
          </cell>
        </row>
        <row r="186">
          <cell r="A186" t="str">
            <v>Belgium</v>
          </cell>
          <cell r="E186">
            <v>430.71</v>
          </cell>
        </row>
        <row r="187">
          <cell r="A187" t="str">
            <v>Belgium</v>
          </cell>
          <cell r="E187">
            <v>177.89</v>
          </cell>
        </row>
        <row r="188">
          <cell r="A188" t="str">
            <v>Belgium</v>
          </cell>
          <cell r="E188">
            <v>4316.8</v>
          </cell>
        </row>
        <row r="189">
          <cell r="A189" t="str">
            <v>Belgium</v>
          </cell>
          <cell r="E189">
            <v>1791.92</v>
          </cell>
        </row>
        <row r="190">
          <cell r="A190" t="str">
            <v>Belgium</v>
          </cell>
          <cell r="E190">
            <v>461.46</v>
          </cell>
        </row>
        <row r="191">
          <cell r="A191" t="str">
            <v>Belgium</v>
          </cell>
          <cell r="E191">
            <v>190.56</v>
          </cell>
        </row>
        <row r="192">
          <cell r="A192" t="str">
            <v>Belgium</v>
          </cell>
          <cell r="E192">
            <v>4573.95</v>
          </cell>
        </row>
        <row r="193">
          <cell r="A193" t="str">
            <v>Belgium</v>
          </cell>
          <cell r="E193">
            <v>1898.39</v>
          </cell>
        </row>
        <row r="194">
          <cell r="A194" t="str">
            <v>Belgium</v>
          </cell>
          <cell r="E194">
            <v>470.29</v>
          </cell>
        </row>
        <row r="195">
          <cell r="A195" t="str">
            <v>Belgium</v>
          </cell>
          <cell r="E195">
            <v>194.23</v>
          </cell>
        </row>
        <row r="196">
          <cell r="A196" t="str">
            <v>Belgium</v>
          </cell>
          <cell r="E196">
            <v>4547.18</v>
          </cell>
        </row>
        <row r="197">
          <cell r="A197" t="str">
            <v>Belgium</v>
          </cell>
          <cell r="E197">
            <v>1887.44</v>
          </cell>
        </row>
        <row r="198">
          <cell r="A198" t="str">
            <v>Belgium</v>
          </cell>
          <cell r="E198">
            <v>538.37</v>
          </cell>
        </row>
        <row r="199">
          <cell r="A199" t="str">
            <v>Belgium</v>
          </cell>
          <cell r="E199">
            <v>222.34</v>
          </cell>
        </row>
        <row r="200">
          <cell r="A200" t="str">
            <v>Belgium</v>
          </cell>
          <cell r="E200">
            <v>5012.72</v>
          </cell>
        </row>
        <row r="201">
          <cell r="A201" t="str">
            <v>Belgium</v>
          </cell>
          <cell r="E201">
            <v>2080.6799999999998</v>
          </cell>
        </row>
        <row r="202">
          <cell r="A202" t="str">
            <v>Bolivia</v>
          </cell>
          <cell r="E202">
            <v>36.81</v>
          </cell>
        </row>
        <row r="203">
          <cell r="A203" t="str">
            <v>Bolivia</v>
          </cell>
          <cell r="E203">
            <v>12.44</v>
          </cell>
        </row>
        <row r="204">
          <cell r="A204" t="str">
            <v>Bolivia</v>
          </cell>
          <cell r="E204">
            <v>156.6</v>
          </cell>
        </row>
        <row r="205">
          <cell r="A205" t="str">
            <v>Bolivia</v>
          </cell>
          <cell r="E205">
            <v>52.94</v>
          </cell>
        </row>
        <row r="206">
          <cell r="A206" t="str">
            <v>Bolivia</v>
          </cell>
          <cell r="E206">
            <v>31.6</v>
          </cell>
        </row>
        <row r="207">
          <cell r="A207" t="str">
            <v>Bolivia</v>
          </cell>
          <cell r="E207">
            <v>10.66</v>
          </cell>
        </row>
        <row r="208">
          <cell r="A208" t="str">
            <v>Bolivia</v>
          </cell>
          <cell r="E208">
            <v>126.22</v>
          </cell>
        </row>
        <row r="209">
          <cell r="A209" t="str">
            <v>Bolivia</v>
          </cell>
          <cell r="E209">
            <v>42.67</v>
          </cell>
        </row>
        <row r="210">
          <cell r="A210" t="str">
            <v>Bolivia</v>
          </cell>
          <cell r="E210">
            <v>36.409999999999997</v>
          </cell>
        </row>
        <row r="211">
          <cell r="A211" t="str">
            <v>Bolivia</v>
          </cell>
          <cell r="E211">
            <v>12.29</v>
          </cell>
        </row>
        <row r="212">
          <cell r="A212" t="str">
            <v>Bolivia</v>
          </cell>
          <cell r="E212">
            <v>147.88</v>
          </cell>
        </row>
        <row r="213">
          <cell r="A213" t="str">
            <v>Bolivia</v>
          </cell>
          <cell r="E213">
            <v>49.99</v>
          </cell>
        </row>
        <row r="214">
          <cell r="A214" t="str">
            <v>Bolivia</v>
          </cell>
          <cell r="E214">
            <v>37.57</v>
          </cell>
        </row>
        <row r="215">
          <cell r="A215" t="str">
            <v>Bolivia</v>
          </cell>
          <cell r="E215">
            <v>12.68</v>
          </cell>
        </row>
        <row r="216">
          <cell r="A216" t="str">
            <v>Bolivia</v>
          </cell>
          <cell r="E216">
            <v>155.26</v>
          </cell>
        </row>
        <row r="217">
          <cell r="A217" t="str">
            <v>Bolivia</v>
          </cell>
          <cell r="E217">
            <v>52.48</v>
          </cell>
        </row>
        <row r="218">
          <cell r="A218" t="str">
            <v>Bolivia</v>
          </cell>
          <cell r="E218">
            <v>38.75</v>
          </cell>
        </row>
        <row r="219">
          <cell r="A219" t="str">
            <v>Bolivia</v>
          </cell>
          <cell r="E219">
            <v>13.08</v>
          </cell>
        </row>
        <row r="220">
          <cell r="A220" t="str">
            <v>Bolivia</v>
          </cell>
          <cell r="E220">
            <v>159.54</v>
          </cell>
        </row>
        <row r="221">
          <cell r="A221" t="str">
            <v>Bolivia</v>
          </cell>
          <cell r="E221">
            <v>53.93</v>
          </cell>
        </row>
        <row r="222">
          <cell r="A222" t="str">
            <v>Brazil</v>
          </cell>
          <cell r="E222">
            <v>1418.43</v>
          </cell>
        </row>
        <row r="223">
          <cell r="A223" t="str">
            <v>Brazil</v>
          </cell>
          <cell r="E223">
            <v>508.54</v>
          </cell>
        </row>
        <row r="224">
          <cell r="A224" t="str">
            <v>Brazil</v>
          </cell>
          <cell r="E224">
            <v>10683.12</v>
          </cell>
        </row>
        <row r="225">
          <cell r="A225" t="str">
            <v>Brazil</v>
          </cell>
          <cell r="E225">
            <v>3868.77</v>
          </cell>
        </row>
        <row r="226">
          <cell r="A226" t="str">
            <v>Brazil</v>
          </cell>
          <cell r="E226">
            <v>1431.96</v>
          </cell>
        </row>
        <row r="227">
          <cell r="A227" t="str">
            <v>Brazil</v>
          </cell>
          <cell r="E227">
            <v>513.08000000000004</v>
          </cell>
        </row>
        <row r="228">
          <cell r="A228" t="str">
            <v>Brazil</v>
          </cell>
          <cell r="E228">
            <v>10665.98</v>
          </cell>
        </row>
        <row r="229">
          <cell r="A229" t="str">
            <v>Brazil</v>
          </cell>
          <cell r="E229">
            <v>3862.43</v>
          </cell>
        </row>
        <row r="230">
          <cell r="A230" t="str">
            <v>Brazil</v>
          </cell>
          <cell r="E230">
            <v>1628.08</v>
          </cell>
        </row>
        <row r="231">
          <cell r="A231" t="str">
            <v>Brazil</v>
          </cell>
          <cell r="E231">
            <v>583.04999999999995</v>
          </cell>
        </row>
        <row r="232">
          <cell r="A232" t="str">
            <v>Brazil</v>
          </cell>
          <cell r="E232">
            <v>11952.98</v>
          </cell>
        </row>
        <row r="233">
          <cell r="A233" t="str">
            <v>Brazil</v>
          </cell>
          <cell r="E233">
            <v>4327.8900000000003</v>
          </cell>
        </row>
        <row r="234">
          <cell r="A234" t="str">
            <v>Brazil</v>
          </cell>
          <cell r="E234">
            <v>1771.37</v>
          </cell>
        </row>
        <row r="235">
          <cell r="A235" t="str">
            <v>Brazil</v>
          </cell>
          <cell r="E235">
            <v>634.52</v>
          </cell>
        </row>
        <row r="236">
          <cell r="A236" t="str">
            <v>Brazil</v>
          </cell>
          <cell r="E236">
            <v>12832.56</v>
          </cell>
        </row>
        <row r="237">
          <cell r="A237" t="str">
            <v>Brazil</v>
          </cell>
          <cell r="E237">
            <v>4641.67</v>
          </cell>
        </row>
        <row r="238">
          <cell r="A238" t="str">
            <v>Brazil</v>
          </cell>
          <cell r="E238">
            <v>1817.32</v>
          </cell>
        </row>
        <row r="239">
          <cell r="A239" t="str">
            <v>Brazil</v>
          </cell>
          <cell r="E239">
            <v>652.85</v>
          </cell>
        </row>
        <row r="240">
          <cell r="A240" t="str">
            <v>Brazil</v>
          </cell>
          <cell r="E240">
            <v>13068.28</v>
          </cell>
        </row>
        <row r="241">
          <cell r="A241" t="str">
            <v>Brazil</v>
          </cell>
          <cell r="E241">
            <v>4739.1400000000003</v>
          </cell>
        </row>
        <row r="242">
          <cell r="A242" t="str">
            <v>Bulgaria</v>
          </cell>
          <cell r="E242">
            <v>208.74</v>
          </cell>
        </row>
        <row r="243">
          <cell r="A243" t="str">
            <v>Bulgaria</v>
          </cell>
          <cell r="E243">
            <v>56.78</v>
          </cell>
        </row>
        <row r="244">
          <cell r="A244" t="str">
            <v>Bulgaria</v>
          </cell>
          <cell r="E244">
            <v>1649.73</v>
          </cell>
        </row>
        <row r="245">
          <cell r="A245" t="str">
            <v>Bulgaria</v>
          </cell>
          <cell r="E245">
            <v>448.64</v>
          </cell>
        </row>
        <row r="246">
          <cell r="A246" t="str">
            <v>Bulgaria</v>
          </cell>
          <cell r="E246">
            <v>203.97</v>
          </cell>
        </row>
        <row r="247">
          <cell r="A247" t="str">
            <v>Bulgaria</v>
          </cell>
          <cell r="E247">
            <v>55.41</v>
          </cell>
        </row>
        <row r="248">
          <cell r="A248" t="str">
            <v>Bulgaria</v>
          </cell>
          <cell r="E248">
            <v>1606</v>
          </cell>
        </row>
        <row r="249">
          <cell r="A249" t="str">
            <v>Bulgaria</v>
          </cell>
          <cell r="E249">
            <v>436.08</v>
          </cell>
        </row>
        <row r="250">
          <cell r="A250" t="str">
            <v>Bulgaria</v>
          </cell>
          <cell r="E250">
            <v>176.8</v>
          </cell>
        </row>
        <row r="251">
          <cell r="A251" t="str">
            <v>Bulgaria</v>
          </cell>
          <cell r="E251">
            <v>48.01</v>
          </cell>
        </row>
        <row r="252">
          <cell r="A252" t="str">
            <v>Bulgaria</v>
          </cell>
          <cell r="E252">
            <v>1338.47</v>
          </cell>
        </row>
        <row r="253">
          <cell r="A253" t="str">
            <v>Bulgaria</v>
          </cell>
          <cell r="E253">
            <v>366.8</v>
          </cell>
        </row>
        <row r="254">
          <cell r="A254" t="str">
            <v>Bulgaria</v>
          </cell>
          <cell r="E254">
            <v>182.72</v>
          </cell>
        </row>
        <row r="255">
          <cell r="A255" t="str">
            <v>Bulgaria</v>
          </cell>
          <cell r="E255">
            <v>49.59</v>
          </cell>
        </row>
        <row r="256">
          <cell r="A256" t="str">
            <v>Bulgaria</v>
          </cell>
          <cell r="E256">
            <v>1400.01</v>
          </cell>
        </row>
        <row r="257">
          <cell r="A257" t="str">
            <v>Bulgaria</v>
          </cell>
          <cell r="E257">
            <v>387.25</v>
          </cell>
        </row>
        <row r="258">
          <cell r="A258" t="str">
            <v>Bulgaria</v>
          </cell>
          <cell r="E258">
            <v>180.53</v>
          </cell>
        </row>
        <row r="259">
          <cell r="A259" t="str">
            <v>Bulgaria</v>
          </cell>
          <cell r="E259">
            <v>49.15</v>
          </cell>
        </row>
        <row r="260">
          <cell r="A260" t="str">
            <v>Bulgaria</v>
          </cell>
          <cell r="E260">
            <v>1354.06</v>
          </cell>
        </row>
        <row r="261">
          <cell r="A261" t="str">
            <v>Bulgaria</v>
          </cell>
          <cell r="E261">
            <v>375.87</v>
          </cell>
        </row>
        <row r="262">
          <cell r="A262" t="str">
            <v>Cambodia</v>
          </cell>
          <cell r="E262">
            <v>698.02</v>
          </cell>
        </row>
        <row r="263">
          <cell r="A263" t="str">
            <v>Cambodia</v>
          </cell>
          <cell r="E263">
            <v>132.12</v>
          </cell>
        </row>
        <row r="264">
          <cell r="A264" t="str">
            <v>Cambodia</v>
          </cell>
          <cell r="E264">
            <v>1016.19</v>
          </cell>
        </row>
        <row r="265">
          <cell r="A265" t="str">
            <v>Cambodia</v>
          </cell>
          <cell r="E265">
            <v>184.68</v>
          </cell>
        </row>
        <row r="266">
          <cell r="A266" t="str">
            <v>Cambodia</v>
          </cell>
          <cell r="E266">
            <v>696.82</v>
          </cell>
        </row>
        <row r="267">
          <cell r="A267" t="str">
            <v>Cambodia</v>
          </cell>
          <cell r="E267">
            <v>131.69999999999999</v>
          </cell>
        </row>
        <row r="268">
          <cell r="A268" t="str">
            <v>Cambodia</v>
          </cell>
          <cell r="E268">
            <v>1013.24</v>
          </cell>
        </row>
        <row r="269">
          <cell r="A269" t="str">
            <v>Cambodia</v>
          </cell>
          <cell r="E269">
            <v>183.88</v>
          </cell>
        </row>
        <row r="270">
          <cell r="A270" t="str">
            <v>Cambodia</v>
          </cell>
          <cell r="E270">
            <v>708.97</v>
          </cell>
        </row>
        <row r="271">
          <cell r="A271" t="str">
            <v>Cambodia</v>
          </cell>
          <cell r="E271">
            <v>133.62</v>
          </cell>
        </row>
        <row r="272">
          <cell r="A272" t="str">
            <v>Cambodia</v>
          </cell>
          <cell r="E272">
            <v>1030.43</v>
          </cell>
        </row>
        <row r="273">
          <cell r="A273" t="str">
            <v>Cambodia</v>
          </cell>
          <cell r="E273">
            <v>186.6</v>
          </cell>
        </row>
        <row r="274">
          <cell r="A274" t="str">
            <v>Cambodia</v>
          </cell>
          <cell r="E274">
            <v>689.46</v>
          </cell>
        </row>
        <row r="275">
          <cell r="A275" t="str">
            <v>Cambodia</v>
          </cell>
          <cell r="E275">
            <v>130.81</v>
          </cell>
        </row>
        <row r="276">
          <cell r="A276" t="str">
            <v>Cambodia</v>
          </cell>
          <cell r="E276">
            <v>1001.11</v>
          </cell>
        </row>
        <row r="277">
          <cell r="A277" t="str">
            <v>Cambodia</v>
          </cell>
          <cell r="E277">
            <v>182.5</v>
          </cell>
        </row>
        <row r="278">
          <cell r="A278" t="str">
            <v>Cambodia</v>
          </cell>
          <cell r="E278">
            <v>736.59</v>
          </cell>
        </row>
        <row r="279">
          <cell r="A279" t="str">
            <v>Cambodia</v>
          </cell>
          <cell r="E279">
            <v>140.68</v>
          </cell>
        </row>
        <row r="280">
          <cell r="A280" t="str">
            <v>Cambodia</v>
          </cell>
          <cell r="E280">
            <v>1064.8900000000001</v>
          </cell>
        </row>
        <row r="281">
          <cell r="A281" t="str">
            <v>Cambodia</v>
          </cell>
          <cell r="E281">
            <v>195.42</v>
          </cell>
        </row>
        <row r="282">
          <cell r="A282" t="str">
            <v>Cameroon</v>
          </cell>
          <cell r="E282">
            <v>121.73</v>
          </cell>
        </row>
        <row r="283">
          <cell r="A283" t="str">
            <v>Cameroon</v>
          </cell>
          <cell r="E283">
            <v>26.54</v>
          </cell>
        </row>
        <row r="284">
          <cell r="A284" t="str">
            <v>Cameroon</v>
          </cell>
          <cell r="E284">
            <v>209.52</v>
          </cell>
        </row>
        <row r="285">
          <cell r="A285" t="str">
            <v>Cameroon</v>
          </cell>
          <cell r="E285">
            <v>46.26</v>
          </cell>
        </row>
        <row r="286">
          <cell r="A286" t="str">
            <v>Cameroon</v>
          </cell>
          <cell r="E286">
            <v>135.19</v>
          </cell>
        </row>
        <row r="287">
          <cell r="A287" t="str">
            <v>Cameroon</v>
          </cell>
          <cell r="E287">
            <v>29.46</v>
          </cell>
        </row>
        <row r="288">
          <cell r="A288" t="str">
            <v>Cameroon</v>
          </cell>
          <cell r="E288">
            <v>233.6</v>
          </cell>
        </row>
        <row r="289">
          <cell r="A289" t="str">
            <v>Cameroon</v>
          </cell>
          <cell r="E289">
            <v>51.96</v>
          </cell>
        </row>
        <row r="290">
          <cell r="A290" t="str">
            <v>Cameroon</v>
          </cell>
          <cell r="E290">
            <v>137.6</v>
          </cell>
        </row>
        <row r="291">
          <cell r="A291" t="str">
            <v>Cameroon</v>
          </cell>
          <cell r="E291">
            <v>29.9</v>
          </cell>
        </row>
        <row r="292">
          <cell r="A292" t="str">
            <v>Cameroon</v>
          </cell>
          <cell r="E292">
            <v>241.68</v>
          </cell>
        </row>
        <row r="293">
          <cell r="A293" t="str">
            <v>Cameroon</v>
          </cell>
          <cell r="E293">
            <v>53.66</v>
          </cell>
        </row>
        <row r="294">
          <cell r="A294" t="str">
            <v>Cameroon</v>
          </cell>
          <cell r="E294">
            <v>148.22999999999999</v>
          </cell>
        </row>
        <row r="295">
          <cell r="A295" t="str">
            <v>Cameroon</v>
          </cell>
          <cell r="E295">
            <v>32.42</v>
          </cell>
        </row>
        <row r="296">
          <cell r="A296" t="str">
            <v>Cameroon</v>
          </cell>
          <cell r="E296">
            <v>254.26</v>
          </cell>
        </row>
        <row r="297">
          <cell r="A297" t="str">
            <v>Cameroon</v>
          </cell>
          <cell r="E297">
            <v>56.75</v>
          </cell>
        </row>
        <row r="298">
          <cell r="A298" t="str">
            <v>Cameroon</v>
          </cell>
          <cell r="E298">
            <v>156.01</v>
          </cell>
        </row>
        <row r="299">
          <cell r="A299" t="str">
            <v>Cameroon</v>
          </cell>
          <cell r="E299">
            <v>34.1</v>
          </cell>
        </row>
        <row r="300">
          <cell r="A300" t="str">
            <v>Cameroon</v>
          </cell>
          <cell r="E300">
            <v>265.38</v>
          </cell>
        </row>
        <row r="301">
          <cell r="A301" t="str">
            <v>Cameroon</v>
          </cell>
          <cell r="E301">
            <v>59.2</v>
          </cell>
        </row>
        <row r="302">
          <cell r="A302" t="str">
            <v>Canada</v>
          </cell>
          <cell r="E302">
            <v>2059.61</v>
          </cell>
        </row>
        <row r="303">
          <cell r="A303" t="str">
            <v>Canada</v>
          </cell>
          <cell r="E303">
            <v>1601.86</v>
          </cell>
        </row>
        <row r="304">
          <cell r="A304" t="str">
            <v>Canada</v>
          </cell>
          <cell r="E304">
            <v>6235</v>
          </cell>
        </row>
        <row r="305">
          <cell r="A305" t="str">
            <v>Canada</v>
          </cell>
          <cell r="E305">
            <v>4880.4799999999996</v>
          </cell>
        </row>
        <row r="306">
          <cell r="A306" t="str">
            <v>Canada</v>
          </cell>
          <cell r="E306">
            <v>1916.3</v>
          </cell>
        </row>
        <row r="307">
          <cell r="A307" t="str">
            <v>Canada</v>
          </cell>
          <cell r="E307">
            <v>1498.23</v>
          </cell>
        </row>
        <row r="308">
          <cell r="A308" t="str">
            <v>Canada</v>
          </cell>
          <cell r="E308">
            <v>5822.7</v>
          </cell>
        </row>
        <row r="309">
          <cell r="A309" t="str">
            <v>Canada</v>
          </cell>
          <cell r="E309">
            <v>4554.13</v>
          </cell>
        </row>
        <row r="310">
          <cell r="A310" t="str">
            <v>Canada</v>
          </cell>
          <cell r="E310">
            <v>1971.14</v>
          </cell>
        </row>
        <row r="311">
          <cell r="A311" t="str">
            <v>Canada</v>
          </cell>
          <cell r="E311">
            <v>1537.82</v>
          </cell>
        </row>
        <row r="312">
          <cell r="A312" t="str">
            <v>Canada</v>
          </cell>
          <cell r="E312">
            <v>6025.36</v>
          </cell>
        </row>
        <row r="313">
          <cell r="A313" t="str">
            <v>Canada</v>
          </cell>
          <cell r="E313">
            <v>4706.6000000000004</v>
          </cell>
        </row>
        <row r="314">
          <cell r="A314" t="str">
            <v>Canada</v>
          </cell>
          <cell r="E314">
            <v>1948.24</v>
          </cell>
        </row>
        <row r="315">
          <cell r="A315" t="str">
            <v>Canada</v>
          </cell>
          <cell r="E315">
            <v>1516.9</v>
          </cell>
        </row>
        <row r="316">
          <cell r="A316" t="str">
            <v>Canada</v>
          </cell>
          <cell r="E316">
            <v>5947.22</v>
          </cell>
        </row>
        <row r="317">
          <cell r="A317" t="str">
            <v>Canada</v>
          </cell>
          <cell r="E317">
            <v>4639.26</v>
          </cell>
        </row>
        <row r="318">
          <cell r="A318" t="str">
            <v>Canada</v>
          </cell>
          <cell r="E318">
            <v>2158.9</v>
          </cell>
        </row>
        <row r="319">
          <cell r="A319" t="str">
            <v>Canada</v>
          </cell>
          <cell r="E319">
            <v>1677.46</v>
          </cell>
        </row>
        <row r="320">
          <cell r="A320" t="str">
            <v>Canada</v>
          </cell>
          <cell r="E320">
            <v>6545.54</v>
          </cell>
        </row>
        <row r="321">
          <cell r="A321" t="str">
            <v>Canada</v>
          </cell>
          <cell r="E321">
            <v>5099.0600000000004</v>
          </cell>
        </row>
        <row r="322">
          <cell r="A322" t="str">
            <v>Chile</v>
          </cell>
          <cell r="E322">
            <v>1119.8499999999999</v>
          </cell>
        </row>
        <row r="323">
          <cell r="A323" t="str">
            <v>Chile</v>
          </cell>
          <cell r="E323">
            <v>101.39</v>
          </cell>
        </row>
        <row r="324">
          <cell r="A324" t="str">
            <v>Chile</v>
          </cell>
          <cell r="E324">
            <v>3227.88</v>
          </cell>
        </row>
        <row r="325">
          <cell r="A325" t="str">
            <v>Chile</v>
          </cell>
          <cell r="E325">
            <v>289.64999999999998</v>
          </cell>
        </row>
        <row r="326">
          <cell r="A326" t="str">
            <v>Chile</v>
          </cell>
          <cell r="E326">
            <v>1084.0899999999999</v>
          </cell>
        </row>
        <row r="327">
          <cell r="A327" t="str">
            <v>Chile</v>
          </cell>
          <cell r="E327">
            <v>98.1</v>
          </cell>
        </row>
        <row r="328">
          <cell r="A328" t="str">
            <v>Chile</v>
          </cell>
          <cell r="E328">
            <v>3066.73</v>
          </cell>
        </row>
        <row r="329">
          <cell r="A329" t="str">
            <v>Chile</v>
          </cell>
          <cell r="E329">
            <v>274.99</v>
          </cell>
        </row>
        <row r="330">
          <cell r="A330" t="str">
            <v>Chile</v>
          </cell>
          <cell r="E330">
            <v>1164.02</v>
          </cell>
        </row>
        <row r="331">
          <cell r="A331" t="str">
            <v>Chile</v>
          </cell>
          <cell r="E331">
            <v>105.26</v>
          </cell>
        </row>
        <row r="332">
          <cell r="A332" t="str">
            <v>Chile</v>
          </cell>
          <cell r="E332">
            <v>3244.13</v>
          </cell>
        </row>
        <row r="333">
          <cell r="A333" t="str">
            <v>Chile</v>
          </cell>
          <cell r="E333">
            <v>290.76</v>
          </cell>
        </row>
        <row r="334">
          <cell r="A334" t="str">
            <v>Chile</v>
          </cell>
          <cell r="E334">
            <v>1215.9100000000001</v>
          </cell>
        </row>
        <row r="335">
          <cell r="A335" t="str">
            <v>Chile</v>
          </cell>
          <cell r="E335">
            <v>109.9</v>
          </cell>
        </row>
        <row r="336">
          <cell r="A336" t="str">
            <v>Chile</v>
          </cell>
          <cell r="E336">
            <v>3359.68</v>
          </cell>
        </row>
        <row r="337">
          <cell r="A337" t="str">
            <v>Chile</v>
          </cell>
          <cell r="E337">
            <v>300.89999999999998</v>
          </cell>
        </row>
        <row r="338">
          <cell r="A338" t="str">
            <v>Chile</v>
          </cell>
          <cell r="E338">
            <v>1284.51</v>
          </cell>
        </row>
        <row r="339">
          <cell r="A339" t="str">
            <v>Chile</v>
          </cell>
          <cell r="E339">
            <v>116.54</v>
          </cell>
        </row>
        <row r="340">
          <cell r="A340" t="str">
            <v>Chile</v>
          </cell>
          <cell r="E340">
            <v>3454.86</v>
          </cell>
        </row>
        <row r="341">
          <cell r="A341" t="str">
            <v>Chile</v>
          </cell>
          <cell r="E341">
            <v>310.67</v>
          </cell>
        </row>
        <row r="342">
          <cell r="A342" t="str">
            <v>China</v>
          </cell>
          <cell r="E342">
            <v>144429.46</v>
          </cell>
        </row>
        <row r="343">
          <cell r="A343" t="str">
            <v>China</v>
          </cell>
          <cell r="E343">
            <v>15123.02</v>
          </cell>
        </row>
        <row r="344">
          <cell r="A344" t="str">
            <v>China</v>
          </cell>
          <cell r="E344">
            <v>163218.69</v>
          </cell>
        </row>
        <row r="345">
          <cell r="A345" t="str">
            <v>China</v>
          </cell>
          <cell r="E345">
            <v>17083.41</v>
          </cell>
        </row>
        <row r="346">
          <cell r="A346" t="str">
            <v>China</v>
          </cell>
          <cell r="E346">
            <v>168751.98</v>
          </cell>
        </row>
        <row r="347">
          <cell r="A347" t="str">
            <v>China</v>
          </cell>
          <cell r="E347">
            <v>17662.98</v>
          </cell>
        </row>
        <row r="348">
          <cell r="A348" t="str">
            <v>China</v>
          </cell>
          <cell r="E348">
            <v>198092.61</v>
          </cell>
        </row>
        <row r="349">
          <cell r="A349" t="str">
            <v>China</v>
          </cell>
          <cell r="E349">
            <v>20750.509999999998</v>
          </cell>
        </row>
        <row r="350">
          <cell r="A350" t="str">
            <v>China</v>
          </cell>
          <cell r="E350">
            <v>181945.35</v>
          </cell>
        </row>
        <row r="351">
          <cell r="A351" t="str">
            <v>China</v>
          </cell>
          <cell r="E351">
            <v>19041.77</v>
          </cell>
        </row>
        <row r="352">
          <cell r="A352" t="str">
            <v>China</v>
          </cell>
          <cell r="E352">
            <v>201890.76</v>
          </cell>
        </row>
        <row r="353">
          <cell r="A353" t="str">
            <v>China</v>
          </cell>
          <cell r="E353">
            <v>21242.95</v>
          </cell>
        </row>
        <row r="354">
          <cell r="A354" t="str">
            <v>China</v>
          </cell>
          <cell r="E354">
            <v>212105.47</v>
          </cell>
        </row>
        <row r="355">
          <cell r="A355" t="str">
            <v>China</v>
          </cell>
          <cell r="E355">
            <v>22174.83</v>
          </cell>
        </row>
        <row r="356">
          <cell r="A356" t="str">
            <v>China</v>
          </cell>
          <cell r="E356">
            <v>233286.88</v>
          </cell>
        </row>
        <row r="357">
          <cell r="A357" t="str">
            <v>China</v>
          </cell>
          <cell r="E357">
            <v>24642.57</v>
          </cell>
        </row>
        <row r="358">
          <cell r="A358" t="str">
            <v>China</v>
          </cell>
          <cell r="E358">
            <v>265095.84999999998</v>
          </cell>
        </row>
        <row r="359">
          <cell r="A359" t="str">
            <v>China</v>
          </cell>
          <cell r="E359">
            <v>27769.18</v>
          </cell>
        </row>
        <row r="360">
          <cell r="A360" t="str">
            <v>China</v>
          </cell>
          <cell r="E360">
            <v>283511.53999999998</v>
          </cell>
        </row>
        <row r="361">
          <cell r="A361" t="str">
            <v>China</v>
          </cell>
          <cell r="E361">
            <v>30006.58</v>
          </cell>
        </row>
        <row r="362">
          <cell r="A362" t="str">
            <v>Colombia</v>
          </cell>
          <cell r="E362">
            <v>393.46</v>
          </cell>
        </row>
        <row r="363">
          <cell r="A363" t="str">
            <v>Colombia</v>
          </cell>
          <cell r="E363">
            <v>80.540000000000006</v>
          </cell>
        </row>
        <row r="364">
          <cell r="A364" t="str">
            <v>Colombia</v>
          </cell>
          <cell r="E364">
            <v>7190.16</v>
          </cell>
        </row>
        <row r="365">
          <cell r="A365" t="str">
            <v>Colombia</v>
          </cell>
          <cell r="E365">
            <v>1393.41</v>
          </cell>
        </row>
        <row r="366">
          <cell r="A366" t="str">
            <v>Colombia</v>
          </cell>
          <cell r="E366">
            <v>282.3</v>
          </cell>
        </row>
        <row r="367">
          <cell r="A367" t="str">
            <v>Colombia</v>
          </cell>
          <cell r="E367">
            <v>57.79</v>
          </cell>
        </row>
        <row r="368">
          <cell r="A368" t="str">
            <v>Colombia</v>
          </cell>
          <cell r="E368">
            <v>5074.4399999999996</v>
          </cell>
        </row>
        <row r="369">
          <cell r="A369" t="str">
            <v>Colombia</v>
          </cell>
          <cell r="E369">
            <v>981.74</v>
          </cell>
        </row>
        <row r="370">
          <cell r="A370" t="str">
            <v>Colombia</v>
          </cell>
          <cell r="E370">
            <v>272.61</v>
          </cell>
        </row>
        <row r="371">
          <cell r="A371" t="str">
            <v>Colombia</v>
          </cell>
          <cell r="E371">
            <v>55.8</v>
          </cell>
        </row>
        <row r="372">
          <cell r="A372" t="str">
            <v>Colombia</v>
          </cell>
          <cell r="E372">
            <v>4937.59</v>
          </cell>
        </row>
        <row r="373">
          <cell r="A373" t="str">
            <v>Colombia</v>
          </cell>
          <cell r="E373">
            <v>954.7</v>
          </cell>
        </row>
        <row r="374">
          <cell r="A374" t="str">
            <v>Colombia</v>
          </cell>
          <cell r="E374">
            <v>278.82</v>
          </cell>
        </row>
        <row r="375">
          <cell r="A375" t="str">
            <v>Colombia</v>
          </cell>
          <cell r="E375">
            <v>57.07</v>
          </cell>
        </row>
        <row r="376">
          <cell r="A376" t="str">
            <v>Colombia</v>
          </cell>
          <cell r="E376">
            <v>5015.21</v>
          </cell>
        </row>
        <row r="377">
          <cell r="A377" t="str">
            <v>Colombia</v>
          </cell>
          <cell r="E377">
            <v>975.95</v>
          </cell>
        </row>
        <row r="378">
          <cell r="A378" t="str">
            <v>Colombia</v>
          </cell>
          <cell r="E378">
            <v>258.33999999999997</v>
          </cell>
        </row>
        <row r="379">
          <cell r="A379" t="str">
            <v>Colombia</v>
          </cell>
          <cell r="E379">
            <v>52.93</v>
          </cell>
        </row>
        <row r="380">
          <cell r="A380" t="str">
            <v>Colombia</v>
          </cell>
          <cell r="E380">
            <v>4650.72</v>
          </cell>
        </row>
        <row r="381">
          <cell r="A381" t="str">
            <v>Colombia</v>
          </cell>
          <cell r="E381">
            <v>905.2</v>
          </cell>
        </row>
        <row r="382">
          <cell r="A382" t="str">
            <v>Croatia</v>
          </cell>
          <cell r="E382">
            <v>7.94</v>
          </cell>
        </row>
        <row r="383">
          <cell r="A383" t="str">
            <v>Croatia</v>
          </cell>
          <cell r="E383">
            <v>4.18</v>
          </cell>
        </row>
        <row r="384">
          <cell r="A384" t="str">
            <v>Croatia</v>
          </cell>
          <cell r="E384">
            <v>567.79999999999995</v>
          </cell>
        </row>
        <row r="385">
          <cell r="A385" t="str">
            <v>Croatia</v>
          </cell>
          <cell r="E385">
            <v>251.44</v>
          </cell>
        </row>
        <row r="386">
          <cell r="A386" t="str">
            <v>Croatia</v>
          </cell>
          <cell r="E386">
            <v>9.1</v>
          </cell>
        </row>
        <row r="387">
          <cell r="A387" t="str">
            <v>Croatia</v>
          </cell>
          <cell r="E387">
            <v>4.79</v>
          </cell>
        </row>
        <row r="388">
          <cell r="A388" t="str">
            <v>Croatia</v>
          </cell>
          <cell r="E388">
            <v>599.95000000000005</v>
          </cell>
        </row>
        <row r="389">
          <cell r="A389" t="str">
            <v>Croatia</v>
          </cell>
          <cell r="E389">
            <v>265.7</v>
          </cell>
        </row>
        <row r="390">
          <cell r="A390" t="str">
            <v>Croatia</v>
          </cell>
          <cell r="E390">
            <v>11</v>
          </cell>
        </row>
        <row r="391">
          <cell r="A391" t="str">
            <v>Croatia</v>
          </cell>
          <cell r="E391">
            <v>5.78</v>
          </cell>
        </row>
        <row r="392">
          <cell r="A392" t="str">
            <v>Croatia</v>
          </cell>
          <cell r="E392">
            <v>705.98</v>
          </cell>
        </row>
        <row r="393">
          <cell r="A393" t="str">
            <v>Croatia</v>
          </cell>
          <cell r="E393">
            <v>312.66000000000003</v>
          </cell>
        </row>
        <row r="394">
          <cell r="A394" t="str">
            <v>Croatia</v>
          </cell>
          <cell r="E394">
            <v>11.61</v>
          </cell>
        </row>
        <row r="395">
          <cell r="A395" t="str">
            <v>Croatia</v>
          </cell>
          <cell r="E395">
            <v>6.09</v>
          </cell>
        </row>
        <row r="396">
          <cell r="A396" t="str">
            <v>Croatia</v>
          </cell>
          <cell r="E396">
            <v>738.39</v>
          </cell>
        </row>
        <row r="397">
          <cell r="A397" t="str">
            <v>Croatia</v>
          </cell>
          <cell r="E397">
            <v>326.98</v>
          </cell>
        </row>
        <row r="398">
          <cell r="A398" t="str">
            <v>Croatia</v>
          </cell>
          <cell r="E398">
            <v>12.78</v>
          </cell>
        </row>
        <row r="399">
          <cell r="A399" t="str">
            <v>Croatia</v>
          </cell>
          <cell r="E399">
            <v>6.72</v>
          </cell>
        </row>
        <row r="400">
          <cell r="A400" t="str">
            <v>Croatia</v>
          </cell>
          <cell r="E400">
            <v>782.38</v>
          </cell>
        </row>
        <row r="401">
          <cell r="A401" t="str">
            <v>Croatia</v>
          </cell>
          <cell r="E401">
            <v>347.61</v>
          </cell>
        </row>
        <row r="402">
          <cell r="A402" t="str">
            <v>Czech Republic</v>
          </cell>
          <cell r="E402">
            <v>2982.58</v>
          </cell>
        </row>
        <row r="403">
          <cell r="A403" t="str">
            <v>Czech Republic</v>
          </cell>
          <cell r="E403">
            <v>471.76</v>
          </cell>
        </row>
        <row r="404">
          <cell r="A404" t="str">
            <v>Czech Republic</v>
          </cell>
          <cell r="E404">
            <v>8485.41</v>
          </cell>
        </row>
        <row r="405">
          <cell r="A405" t="str">
            <v>Czech Republic</v>
          </cell>
          <cell r="E405">
            <v>1347.17</v>
          </cell>
        </row>
        <row r="406">
          <cell r="A406" t="str">
            <v>Czech Republic</v>
          </cell>
          <cell r="E406">
            <v>3778.56</v>
          </cell>
        </row>
        <row r="407">
          <cell r="A407" t="str">
            <v>Czech Republic</v>
          </cell>
          <cell r="E407">
            <v>597.61</v>
          </cell>
        </row>
        <row r="408">
          <cell r="A408" t="str">
            <v>Czech Republic</v>
          </cell>
          <cell r="E408">
            <v>8867.41</v>
          </cell>
        </row>
        <row r="409">
          <cell r="A409" t="str">
            <v>Czech Republic</v>
          </cell>
          <cell r="E409">
            <v>1407.4</v>
          </cell>
        </row>
        <row r="410">
          <cell r="A410" t="str">
            <v>Czech Republic</v>
          </cell>
          <cell r="E410">
            <v>4226.3</v>
          </cell>
        </row>
        <row r="411">
          <cell r="A411" t="str">
            <v>Czech Republic</v>
          </cell>
          <cell r="E411">
            <v>667.35</v>
          </cell>
        </row>
        <row r="412">
          <cell r="A412" t="str">
            <v>Czech Republic</v>
          </cell>
          <cell r="E412">
            <v>8933.48</v>
          </cell>
        </row>
        <row r="413">
          <cell r="A413" t="str">
            <v>Czech Republic</v>
          </cell>
          <cell r="E413">
            <v>1415.27</v>
          </cell>
        </row>
        <row r="414">
          <cell r="A414" t="str">
            <v>Czech Republic</v>
          </cell>
          <cell r="E414">
            <v>3902.6</v>
          </cell>
        </row>
        <row r="415">
          <cell r="A415" t="str">
            <v>Czech Republic</v>
          </cell>
          <cell r="E415">
            <v>616.09</v>
          </cell>
        </row>
        <row r="416">
          <cell r="A416" t="str">
            <v>Czech Republic</v>
          </cell>
          <cell r="E416">
            <v>8483.9699999999993</v>
          </cell>
        </row>
        <row r="417">
          <cell r="A417" t="str">
            <v>Czech Republic</v>
          </cell>
          <cell r="E417">
            <v>1358.07</v>
          </cell>
        </row>
        <row r="418">
          <cell r="A418" t="str">
            <v>Czech Republic</v>
          </cell>
          <cell r="E418">
            <v>4220.79</v>
          </cell>
        </row>
        <row r="419">
          <cell r="A419" t="str">
            <v>Czech Republic</v>
          </cell>
          <cell r="E419">
            <v>669.39</v>
          </cell>
        </row>
        <row r="420">
          <cell r="A420" t="str">
            <v>Czech Republic</v>
          </cell>
          <cell r="E420">
            <v>9392.06</v>
          </cell>
        </row>
        <row r="421">
          <cell r="A421" t="str">
            <v>Czech Republic</v>
          </cell>
          <cell r="E421">
            <v>1509.84</v>
          </cell>
        </row>
        <row r="422">
          <cell r="A422" t="str">
            <v>Denmark</v>
          </cell>
          <cell r="E422">
            <v>1335.86</v>
          </cell>
        </row>
        <row r="423">
          <cell r="A423" t="str">
            <v>Denmark</v>
          </cell>
          <cell r="E423">
            <v>290.93</v>
          </cell>
        </row>
        <row r="424">
          <cell r="A424" t="str">
            <v>Denmark</v>
          </cell>
          <cell r="E424">
            <v>2179.0700000000002</v>
          </cell>
        </row>
        <row r="425">
          <cell r="A425" t="str">
            <v>Denmark</v>
          </cell>
          <cell r="E425">
            <v>452.03</v>
          </cell>
        </row>
        <row r="426">
          <cell r="A426" t="str">
            <v>Denmark</v>
          </cell>
          <cell r="E426">
            <v>1255.23</v>
          </cell>
        </row>
        <row r="427">
          <cell r="A427" t="str">
            <v>Denmark</v>
          </cell>
          <cell r="E427">
            <v>273.42</v>
          </cell>
        </row>
        <row r="428">
          <cell r="A428" t="str">
            <v>Denmark</v>
          </cell>
          <cell r="E428">
            <v>1951.54</v>
          </cell>
        </row>
        <row r="429">
          <cell r="A429" t="str">
            <v>Denmark</v>
          </cell>
          <cell r="E429">
            <v>404.86</v>
          </cell>
        </row>
        <row r="430">
          <cell r="A430" t="str">
            <v>Denmark</v>
          </cell>
          <cell r="E430">
            <v>1329.43</v>
          </cell>
        </row>
        <row r="431">
          <cell r="A431" t="str">
            <v>Denmark</v>
          </cell>
          <cell r="E431">
            <v>289.60000000000002</v>
          </cell>
        </row>
        <row r="432">
          <cell r="A432" t="str">
            <v>Denmark</v>
          </cell>
          <cell r="E432">
            <v>2048.5100000000002</v>
          </cell>
        </row>
        <row r="433">
          <cell r="A433" t="str">
            <v>Denmark</v>
          </cell>
          <cell r="E433">
            <v>425.02</v>
          </cell>
        </row>
        <row r="434">
          <cell r="A434" t="str">
            <v>Denmark</v>
          </cell>
          <cell r="E434">
            <v>1377.57</v>
          </cell>
        </row>
        <row r="435">
          <cell r="A435" t="str">
            <v>Denmark</v>
          </cell>
          <cell r="E435">
            <v>300.12</v>
          </cell>
        </row>
        <row r="436">
          <cell r="A436" t="str">
            <v>Denmark</v>
          </cell>
          <cell r="E436">
            <v>2218</v>
          </cell>
        </row>
        <row r="437">
          <cell r="A437" t="str">
            <v>Denmark</v>
          </cell>
          <cell r="E437">
            <v>460.25</v>
          </cell>
        </row>
        <row r="438">
          <cell r="A438" t="str">
            <v>Denmark</v>
          </cell>
          <cell r="E438">
            <v>1473.31</v>
          </cell>
        </row>
        <row r="439">
          <cell r="A439" t="str">
            <v>Denmark</v>
          </cell>
          <cell r="E439">
            <v>321.01</v>
          </cell>
        </row>
        <row r="440">
          <cell r="A440" t="str">
            <v>Denmark</v>
          </cell>
          <cell r="E440">
            <v>2379.5100000000002</v>
          </cell>
        </row>
        <row r="441">
          <cell r="A441" t="str">
            <v>Denmark</v>
          </cell>
          <cell r="E441">
            <v>493.83</v>
          </cell>
        </row>
        <row r="442">
          <cell r="A442" t="str">
            <v>Dominican Republic</v>
          </cell>
          <cell r="E442">
            <v>771.01</v>
          </cell>
        </row>
        <row r="443">
          <cell r="A443" t="str">
            <v>Dominican Republic</v>
          </cell>
          <cell r="E443">
            <v>98.67</v>
          </cell>
        </row>
        <row r="444">
          <cell r="A444" t="str">
            <v>Dominican Republic</v>
          </cell>
          <cell r="E444">
            <v>3518.78</v>
          </cell>
        </row>
        <row r="445">
          <cell r="A445" t="str">
            <v>Dominican Republic</v>
          </cell>
          <cell r="E445">
            <v>451.78</v>
          </cell>
        </row>
        <row r="446">
          <cell r="A446" t="str">
            <v>Dominican Republic</v>
          </cell>
          <cell r="E446">
            <v>712.2</v>
          </cell>
        </row>
        <row r="447">
          <cell r="A447" t="str">
            <v>Dominican Republic</v>
          </cell>
          <cell r="E447">
            <v>91.14</v>
          </cell>
        </row>
        <row r="448">
          <cell r="A448" t="str">
            <v>Dominican Republic</v>
          </cell>
          <cell r="E448">
            <v>3279.03</v>
          </cell>
        </row>
        <row r="449">
          <cell r="A449" t="str">
            <v>Dominican Republic</v>
          </cell>
          <cell r="E449">
            <v>421.72</v>
          </cell>
        </row>
        <row r="450">
          <cell r="A450" t="str">
            <v>Dominican Republic</v>
          </cell>
          <cell r="E450">
            <v>905.56</v>
          </cell>
        </row>
        <row r="451">
          <cell r="A451" t="str">
            <v>Dominican Republic</v>
          </cell>
          <cell r="E451">
            <v>116.16</v>
          </cell>
        </row>
        <row r="452">
          <cell r="A452" t="str">
            <v>Dominican Republic</v>
          </cell>
          <cell r="E452">
            <v>4211.76</v>
          </cell>
        </row>
        <row r="453">
          <cell r="A453" t="str">
            <v>Dominican Republic</v>
          </cell>
          <cell r="E453">
            <v>543.16999999999996</v>
          </cell>
        </row>
        <row r="454">
          <cell r="A454" t="str">
            <v>Dominican Republic</v>
          </cell>
          <cell r="E454">
            <v>913.69</v>
          </cell>
        </row>
        <row r="455">
          <cell r="A455" t="str">
            <v>Dominican Republic</v>
          </cell>
          <cell r="E455">
            <v>117.51</v>
          </cell>
        </row>
        <row r="456">
          <cell r="A456" t="str">
            <v>Dominican Republic</v>
          </cell>
          <cell r="E456">
            <v>4335.95</v>
          </cell>
        </row>
        <row r="457">
          <cell r="A457" t="str">
            <v>Dominican Republic</v>
          </cell>
          <cell r="E457">
            <v>560.5</v>
          </cell>
        </row>
        <row r="458">
          <cell r="A458" t="str">
            <v>Dominican Republic</v>
          </cell>
          <cell r="E458">
            <v>932.02</v>
          </cell>
        </row>
        <row r="459">
          <cell r="A459" t="str">
            <v>Dominican Republic</v>
          </cell>
          <cell r="E459">
            <v>119.78</v>
          </cell>
        </row>
        <row r="460">
          <cell r="A460" t="str">
            <v>Dominican Republic</v>
          </cell>
          <cell r="E460">
            <v>4441.55</v>
          </cell>
        </row>
        <row r="461">
          <cell r="A461" t="str">
            <v>Dominican Republic</v>
          </cell>
          <cell r="E461">
            <v>573.92999999999995</v>
          </cell>
        </row>
        <row r="462">
          <cell r="A462" t="str">
            <v>Ecuador</v>
          </cell>
          <cell r="E462">
            <v>46.93</v>
          </cell>
        </row>
        <row r="463">
          <cell r="A463" t="str">
            <v>Ecuador</v>
          </cell>
          <cell r="E463">
            <v>7.43</v>
          </cell>
        </row>
        <row r="464">
          <cell r="A464" t="str">
            <v>Ecuador</v>
          </cell>
          <cell r="E464">
            <v>581.44000000000005</v>
          </cell>
        </row>
        <row r="465">
          <cell r="A465" t="str">
            <v>Ecuador</v>
          </cell>
          <cell r="E465">
            <v>92.05</v>
          </cell>
        </row>
        <row r="466">
          <cell r="A466" t="str">
            <v>Ecuador</v>
          </cell>
          <cell r="E466">
            <v>35.82</v>
          </cell>
        </row>
        <row r="467">
          <cell r="A467" t="str">
            <v>Ecuador</v>
          </cell>
          <cell r="E467">
            <v>5.67</v>
          </cell>
        </row>
        <row r="468">
          <cell r="A468" t="str">
            <v>Ecuador</v>
          </cell>
          <cell r="E468">
            <v>440.58</v>
          </cell>
        </row>
        <row r="469">
          <cell r="A469" t="str">
            <v>Ecuador</v>
          </cell>
          <cell r="E469">
            <v>69.680000000000007</v>
          </cell>
        </row>
        <row r="470">
          <cell r="A470" t="str">
            <v>Ecuador</v>
          </cell>
          <cell r="E470">
            <v>41.93</v>
          </cell>
        </row>
        <row r="471">
          <cell r="A471" t="str">
            <v>Ecuador</v>
          </cell>
          <cell r="E471">
            <v>6.64</v>
          </cell>
        </row>
        <row r="472">
          <cell r="A472" t="str">
            <v>Ecuador</v>
          </cell>
          <cell r="E472">
            <v>514.79999999999995</v>
          </cell>
        </row>
        <row r="473">
          <cell r="A473" t="str">
            <v>Ecuador</v>
          </cell>
          <cell r="E473">
            <v>81.430000000000007</v>
          </cell>
        </row>
        <row r="474">
          <cell r="A474" t="str">
            <v>Ecuador</v>
          </cell>
          <cell r="E474">
            <v>45.54</v>
          </cell>
        </row>
        <row r="475">
          <cell r="A475" t="str">
            <v>Ecuador</v>
          </cell>
          <cell r="E475">
            <v>7.26</v>
          </cell>
        </row>
        <row r="476">
          <cell r="A476" t="str">
            <v>Ecuador</v>
          </cell>
          <cell r="E476">
            <v>552.86</v>
          </cell>
        </row>
        <row r="477">
          <cell r="A477" t="str">
            <v>Ecuador</v>
          </cell>
          <cell r="E477">
            <v>87.94</v>
          </cell>
        </row>
        <row r="478">
          <cell r="A478" t="str">
            <v>Ecuador</v>
          </cell>
          <cell r="E478">
            <v>45.44</v>
          </cell>
        </row>
        <row r="479">
          <cell r="A479" t="str">
            <v>Ecuador</v>
          </cell>
          <cell r="E479">
            <v>7.24</v>
          </cell>
        </row>
        <row r="480">
          <cell r="A480" t="str">
            <v>Ecuador</v>
          </cell>
          <cell r="E480">
            <v>552.76</v>
          </cell>
        </row>
        <row r="481">
          <cell r="A481" t="str">
            <v>Ecuador</v>
          </cell>
          <cell r="E481">
            <v>87.87</v>
          </cell>
        </row>
        <row r="482">
          <cell r="A482" t="str">
            <v>Egypt</v>
          </cell>
          <cell r="E482">
            <v>715.24</v>
          </cell>
        </row>
        <row r="483">
          <cell r="A483" t="str">
            <v>Egypt</v>
          </cell>
          <cell r="E483">
            <v>356.09</v>
          </cell>
        </row>
        <row r="484">
          <cell r="A484" t="str">
            <v>Egypt</v>
          </cell>
          <cell r="E484">
            <v>1954.25</v>
          </cell>
        </row>
        <row r="485">
          <cell r="A485" t="str">
            <v>Egypt</v>
          </cell>
          <cell r="E485">
            <v>1101.24</v>
          </cell>
        </row>
        <row r="486">
          <cell r="A486" t="str">
            <v>Egypt</v>
          </cell>
          <cell r="E486">
            <v>776.84</v>
          </cell>
        </row>
        <row r="487">
          <cell r="A487" t="str">
            <v>Egypt</v>
          </cell>
          <cell r="E487">
            <v>386.46</v>
          </cell>
        </row>
        <row r="488">
          <cell r="A488" t="str">
            <v>Egypt</v>
          </cell>
          <cell r="E488">
            <v>2148.3000000000002</v>
          </cell>
        </row>
        <row r="489">
          <cell r="A489" t="str">
            <v>Egypt</v>
          </cell>
          <cell r="E489">
            <v>1209.6199999999999</v>
          </cell>
        </row>
        <row r="490">
          <cell r="A490" t="str">
            <v>Egypt</v>
          </cell>
          <cell r="E490">
            <v>877.21</v>
          </cell>
        </row>
        <row r="491">
          <cell r="A491" t="str">
            <v>Egypt</v>
          </cell>
          <cell r="E491">
            <v>435.99</v>
          </cell>
        </row>
        <row r="492">
          <cell r="A492" t="str">
            <v>Egypt</v>
          </cell>
          <cell r="E492">
            <v>2350.86</v>
          </cell>
        </row>
        <row r="493">
          <cell r="A493" t="str">
            <v>Egypt</v>
          </cell>
          <cell r="E493">
            <v>1332.43</v>
          </cell>
        </row>
        <row r="494">
          <cell r="A494" t="str">
            <v>Egypt</v>
          </cell>
          <cell r="E494">
            <v>944.43</v>
          </cell>
        </row>
        <row r="495">
          <cell r="A495" t="str">
            <v>Egypt</v>
          </cell>
          <cell r="E495">
            <v>469.06</v>
          </cell>
        </row>
        <row r="496">
          <cell r="A496" t="str">
            <v>Egypt</v>
          </cell>
          <cell r="E496">
            <v>2508.12</v>
          </cell>
        </row>
        <row r="497">
          <cell r="A497" t="str">
            <v>Egypt</v>
          </cell>
          <cell r="E497">
            <v>1430.78</v>
          </cell>
        </row>
        <row r="498">
          <cell r="A498" t="str">
            <v>Egypt</v>
          </cell>
          <cell r="E498">
            <v>1009.92</v>
          </cell>
        </row>
        <row r="499">
          <cell r="A499" t="str">
            <v>Egypt</v>
          </cell>
          <cell r="E499">
            <v>503.07</v>
          </cell>
        </row>
        <row r="500">
          <cell r="A500" t="str">
            <v>Egypt</v>
          </cell>
          <cell r="E500">
            <v>2589.9899999999998</v>
          </cell>
        </row>
        <row r="501">
          <cell r="A501" t="str">
            <v>Egypt</v>
          </cell>
          <cell r="E501">
            <v>1481.82</v>
          </cell>
        </row>
        <row r="502">
          <cell r="A502" t="str">
            <v>Estonia</v>
          </cell>
          <cell r="E502">
            <v>21.82</v>
          </cell>
        </row>
        <row r="503">
          <cell r="A503" t="str">
            <v>Estonia</v>
          </cell>
          <cell r="E503">
            <v>2.97</v>
          </cell>
        </row>
        <row r="504">
          <cell r="A504" t="str">
            <v>Estonia</v>
          </cell>
          <cell r="E504">
            <v>208.18</v>
          </cell>
        </row>
        <row r="505">
          <cell r="A505" t="str">
            <v>Estonia</v>
          </cell>
          <cell r="E505">
            <v>45.61</v>
          </cell>
        </row>
        <row r="506">
          <cell r="A506" t="str">
            <v>Estonia</v>
          </cell>
          <cell r="E506">
            <v>22.49</v>
          </cell>
        </row>
        <row r="507">
          <cell r="A507" t="str">
            <v>Estonia</v>
          </cell>
          <cell r="E507">
            <v>3.06</v>
          </cell>
        </row>
        <row r="508">
          <cell r="A508" t="str">
            <v>Estonia</v>
          </cell>
          <cell r="E508">
            <v>217.97</v>
          </cell>
        </row>
        <row r="509">
          <cell r="A509" t="str">
            <v>Estonia</v>
          </cell>
          <cell r="E509">
            <v>47.71</v>
          </cell>
        </row>
        <row r="510">
          <cell r="A510" t="str">
            <v>Estonia</v>
          </cell>
          <cell r="E510">
            <v>22.62</v>
          </cell>
        </row>
        <row r="511">
          <cell r="A511" t="str">
            <v>Estonia</v>
          </cell>
          <cell r="E511">
            <v>3.07</v>
          </cell>
        </row>
        <row r="512">
          <cell r="A512" t="str">
            <v>Estonia</v>
          </cell>
          <cell r="E512">
            <v>222.56</v>
          </cell>
        </row>
        <row r="513">
          <cell r="A513" t="str">
            <v>Estonia</v>
          </cell>
          <cell r="E513">
            <v>48.53</v>
          </cell>
        </row>
        <row r="514">
          <cell r="A514" t="str">
            <v>Estonia</v>
          </cell>
          <cell r="E514">
            <v>25.34</v>
          </cell>
        </row>
        <row r="515">
          <cell r="A515" t="str">
            <v>Estonia</v>
          </cell>
          <cell r="E515">
            <v>3.46</v>
          </cell>
        </row>
        <row r="516">
          <cell r="A516" t="str">
            <v>Estonia</v>
          </cell>
          <cell r="E516">
            <v>261.13</v>
          </cell>
        </row>
        <row r="517">
          <cell r="A517" t="str">
            <v>Estonia</v>
          </cell>
          <cell r="E517">
            <v>57.36</v>
          </cell>
        </row>
        <row r="518">
          <cell r="A518" t="str">
            <v>Estonia</v>
          </cell>
          <cell r="E518">
            <v>24.89</v>
          </cell>
        </row>
        <row r="519">
          <cell r="A519" t="str">
            <v>Estonia</v>
          </cell>
          <cell r="E519">
            <v>3.4</v>
          </cell>
        </row>
        <row r="520">
          <cell r="A520" t="str">
            <v>Estonia</v>
          </cell>
          <cell r="E520">
            <v>260.39999999999998</v>
          </cell>
        </row>
        <row r="521">
          <cell r="A521" t="str">
            <v>Estonia</v>
          </cell>
          <cell r="E521">
            <v>57.19</v>
          </cell>
        </row>
        <row r="522">
          <cell r="A522" t="str">
            <v>Ethiopia</v>
          </cell>
          <cell r="E522">
            <v>1466.24</v>
          </cell>
        </row>
        <row r="523">
          <cell r="A523" t="str">
            <v>Ethiopia</v>
          </cell>
          <cell r="E523">
            <v>356.29</v>
          </cell>
        </row>
        <row r="524">
          <cell r="A524" t="str">
            <v>Ethiopia</v>
          </cell>
          <cell r="E524">
            <v>2382.3200000000002</v>
          </cell>
        </row>
        <row r="525">
          <cell r="A525" t="str">
            <v>Ethiopia</v>
          </cell>
          <cell r="E525">
            <v>556.72</v>
          </cell>
        </row>
        <row r="526">
          <cell r="A526" t="str">
            <v>Ethiopia</v>
          </cell>
          <cell r="E526">
            <v>1646.93</v>
          </cell>
        </row>
        <row r="527">
          <cell r="A527" t="str">
            <v>Ethiopia</v>
          </cell>
          <cell r="E527">
            <v>401.88</v>
          </cell>
        </row>
        <row r="528">
          <cell r="A528" t="str">
            <v>Ethiopia</v>
          </cell>
          <cell r="E528">
            <v>2655.68</v>
          </cell>
        </row>
        <row r="529">
          <cell r="A529" t="str">
            <v>Ethiopia</v>
          </cell>
          <cell r="E529">
            <v>619.65</v>
          </cell>
        </row>
        <row r="530">
          <cell r="A530" t="str">
            <v>Ethiopia</v>
          </cell>
          <cell r="E530">
            <v>1768.02</v>
          </cell>
        </row>
        <row r="531">
          <cell r="A531" t="str">
            <v>Ethiopia</v>
          </cell>
          <cell r="E531">
            <v>429.76</v>
          </cell>
        </row>
        <row r="532">
          <cell r="A532" t="str">
            <v>Ethiopia</v>
          </cell>
          <cell r="E532">
            <v>2859.52</v>
          </cell>
        </row>
        <row r="533">
          <cell r="A533" t="str">
            <v>Ethiopia</v>
          </cell>
          <cell r="E533">
            <v>666.18</v>
          </cell>
        </row>
        <row r="534">
          <cell r="A534" t="str">
            <v>Ethiopia</v>
          </cell>
          <cell r="E534">
            <v>1936.68</v>
          </cell>
        </row>
        <row r="535">
          <cell r="A535" t="str">
            <v>Ethiopia</v>
          </cell>
          <cell r="E535">
            <v>472.94</v>
          </cell>
        </row>
        <row r="536">
          <cell r="A536" t="str">
            <v>Ethiopia</v>
          </cell>
          <cell r="E536">
            <v>3019.45</v>
          </cell>
        </row>
        <row r="537">
          <cell r="A537" t="str">
            <v>Ethiopia</v>
          </cell>
          <cell r="E537">
            <v>707.88</v>
          </cell>
        </row>
        <row r="538">
          <cell r="A538" t="str">
            <v>Ethiopia</v>
          </cell>
          <cell r="E538">
            <v>2081</v>
          </cell>
        </row>
        <row r="539">
          <cell r="A539" t="str">
            <v>Ethiopia</v>
          </cell>
          <cell r="E539">
            <v>507.55</v>
          </cell>
        </row>
        <row r="540">
          <cell r="A540" t="str">
            <v>Ethiopia</v>
          </cell>
          <cell r="E540">
            <v>3233.82</v>
          </cell>
        </row>
        <row r="541">
          <cell r="A541" t="str">
            <v>Ethiopia</v>
          </cell>
          <cell r="E541">
            <v>761.39</v>
          </cell>
        </row>
        <row r="542">
          <cell r="A542" t="str">
            <v>Finland</v>
          </cell>
          <cell r="E542">
            <v>395.78</v>
          </cell>
        </row>
        <row r="543">
          <cell r="A543" t="str">
            <v>Finland</v>
          </cell>
          <cell r="E543">
            <v>120.05</v>
          </cell>
        </row>
        <row r="544">
          <cell r="A544" t="str">
            <v>Finland</v>
          </cell>
          <cell r="E544">
            <v>2100.23</v>
          </cell>
        </row>
        <row r="545">
          <cell r="A545" t="str">
            <v>Finland</v>
          </cell>
          <cell r="E545">
            <v>639.47</v>
          </cell>
        </row>
        <row r="546">
          <cell r="A546" t="str">
            <v>Finland</v>
          </cell>
          <cell r="E546">
            <v>444.86</v>
          </cell>
        </row>
        <row r="547">
          <cell r="A547" t="str">
            <v>Finland</v>
          </cell>
          <cell r="E547">
            <v>134.87</v>
          </cell>
        </row>
        <row r="548">
          <cell r="A548" t="str">
            <v>Finland</v>
          </cell>
          <cell r="E548">
            <v>2297.7199999999998</v>
          </cell>
        </row>
        <row r="549">
          <cell r="A549" t="str">
            <v>Finland</v>
          </cell>
          <cell r="E549">
            <v>699.26</v>
          </cell>
        </row>
        <row r="550">
          <cell r="A550" t="str">
            <v>Finland</v>
          </cell>
          <cell r="E550">
            <v>450.87</v>
          </cell>
        </row>
        <row r="551">
          <cell r="A551" t="str">
            <v>Finland</v>
          </cell>
          <cell r="E551">
            <v>136.55000000000001</v>
          </cell>
        </row>
        <row r="552">
          <cell r="A552" t="str">
            <v>Finland</v>
          </cell>
          <cell r="E552">
            <v>2309.3000000000002</v>
          </cell>
        </row>
        <row r="553">
          <cell r="A553" t="str">
            <v>Finland</v>
          </cell>
          <cell r="E553">
            <v>702.88</v>
          </cell>
        </row>
        <row r="554">
          <cell r="A554" t="str">
            <v>Finland</v>
          </cell>
          <cell r="E554">
            <v>465.41</v>
          </cell>
        </row>
        <row r="555">
          <cell r="A555" t="str">
            <v>Finland</v>
          </cell>
          <cell r="E555">
            <v>140.87</v>
          </cell>
        </row>
        <row r="556">
          <cell r="A556" t="str">
            <v>Finland</v>
          </cell>
          <cell r="E556">
            <v>2348.2600000000002</v>
          </cell>
        </row>
        <row r="557">
          <cell r="A557" t="str">
            <v>Finland</v>
          </cell>
          <cell r="E557">
            <v>717.03</v>
          </cell>
        </row>
        <row r="558">
          <cell r="A558" t="str">
            <v>Finland</v>
          </cell>
          <cell r="E558">
            <v>490.73</v>
          </cell>
        </row>
        <row r="559">
          <cell r="A559" t="str">
            <v>Finland</v>
          </cell>
          <cell r="E559">
            <v>148.44999999999999</v>
          </cell>
        </row>
        <row r="560">
          <cell r="A560" t="str">
            <v>Finland</v>
          </cell>
          <cell r="E560">
            <v>2380.9499999999998</v>
          </cell>
        </row>
        <row r="561">
          <cell r="A561" t="str">
            <v>Finland</v>
          </cell>
          <cell r="E561">
            <v>729.34</v>
          </cell>
        </row>
        <row r="562">
          <cell r="A562" t="str">
            <v>France</v>
          </cell>
          <cell r="E562">
            <v>1205.4100000000001</v>
          </cell>
        </row>
        <row r="563">
          <cell r="A563" t="str">
            <v>France</v>
          </cell>
          <cell r="E563">
            <v>436.31</v>
          </cell>
        </row>
        <row r="564">
          <cell r="A564" t="str">
            <v>France</v>
          </cell>
          <cell r="E564">
            <v>29417.58</v>
          </cell>
        </row>
        <row r="565">
          <cell r="A565" t="str">
            <v>France</v>
          </cell>
          <cell r="E565">
            <v>6779.82</v>
          </cell>
        </row>
        <row r="566">
          <cell r="A566" t="str">
            <v>France</v>
          </cell>
          <cell r="E566">
            <v>732.68</v>
          </cell>
        </row>
        <row r="567">
          <cell r="A567" t="str">
            <v>France</v>
          </cell>
          <cell r="E567">
            <v>265.25</v>
          </cell>
        </row>
        <row r="568">
          <cell r="A568" t="str">
            <v>France</v>
          </cell>
          <cell r="E568">
            <v>30817.65</v>
          </cell>
        </row>
        <row r="569">
          <cell r="A569" t="str">
            <v>France</v>
          </cell>
          <cell r="E569">
            <v>7109.05</v>
          </cell>
        </row>
        <row r="570">
          <cell r="A570" t="str">
            <v>France</v>
          </cell>
          <cell r="E570">
            <v>1029.26</v>
          </cell>
        </row>
        <row r="571">
          <cell r="A571" t="str">
            <v>France</v>
          </cell>
          <cell r="E571">
            <v>372.53</v>
          </cell>
        </row>
        <row r="572">
          <cell r="A572" t="str">
            <v>France</v>
          </cell>
          <cell r="E572">
            <v>31334.1</v>
          </cell>
        </row>
        <row r="573">
          <cell r="A573" t="str">
            <v>France</v>
          </cell>
          <cell r="E573">
            <v>7227.39</v>
          </cell>
        </row>
        <row r="574">
          <cell r="A574" t="str">
            <v>France</v>
          </cell>
          <cell r="E574">
            <v>1111.23</v>
          </cell>
        </row>
        <row r="575">
          <cell r="A575" t="str">
            <v>France</v>
          </cell>
          <cell r="E575">
            <v>402.27</v>
          </cell>
        </row>
        <row r="576">
          <cell r="A576" t="str">
            <v>France</v>
          </cell>
          <cell r="E576">
            <v>31416.17</v>
          </cell>
        </row>
        <row r="577">
          <cell r="A577" t="str">
            <v>France</v>
          </cell>
          <cell r="E577">
            <v>7243.71</v>
          </cell>
        </row>
        <row r="578">
          <cell r="A578" t="str">
            <v>France</v>
          </cell>
          <cell r="E578">
            <v>1093.17</v>
          </cell>
        </row>
        <row r="579">
          <cell r="A579" t="str">
            <v>France</v>
          </cell>
          <cell r="E579">
            <v>395.61</v>
          </cell>
        </row>
        <row r="580">
          <cell r="A580" t="str">
            <v>France</v>
          </cell>
          <cell r="E580">
            <v>31086.73</v>
          </cell>
        </row>
        <row r="581">
          <cell r="A581" t="str">
            <v>France</v>
          </cell>
          <cell r="E581">
            <v>7203.49</v>
          </cell>
        </row>
        <row r="582">
          <cell r="A582" t="str">
            <v>Germany</v>
          </cell>
          <cell r="E582">
            <v>2617.25</v>
          </cell>
        </row>
        <row r="583">
          <cell r="A583" t="str">
            <v>Germany</v>
          </cell>
          <cell r="E583">
            <v>1385.03</v>
          </cell>
        </row>
        <row r="584">
          <cell r="A584" t="str">
            <v>Germany</v>
          </cell>
          <cell r="E584">
            <v>18900.82</v>
          </cell>
        </row>
        <row r="585">
          <cell r="A585" t="str">
            <v>Germany</v>
          </cell>
          <cell r="E585">
            <v>10005.33</v>
          </cell>
        </row>
        <row r="586">
          <cell r="A586" t="str">
            <v>Germany</v>
          </cell>
          <cell r="E586">
            <v>2726.59</v>
          </cell>
        </row>
        <row r="587">
          <cell r="A587" t="str">
            <v>Germany</v>
          </cell>
          <cell r="E587">
            <v>1444.46</v>
          </cell>
        </row>
        <row r="588">
          <cell r="A588" t="str">
            <v>Germany</v>
          </cell>
          <cell r="E588">
            <v>19691.98</v>
          </cell>
        </row>
        <row r="589">
          <cell r="A589" t="str">
            <v>Germany</v>
          </cell>
          <cell r="E589">
            <v>10415.18</v>
          </cell>
        </row>
        <row r="590">
          <cell r="A590" t="str">
            <v>Germany</v>
          </cell>
          <cell r="E590">
            <v>2602.1799999999998</v>
          </cell>
        </row>
        <row r="591">
          <cell r="A591" t="str">
            <v>Germany</v>
          </cell>
          <cell r="E591">
            <v>1379.24</v>
          </cell>
        </row>
        <row r="592">
          <cell r="A592" t="str">
            <v>Germany</v>
          </cell>
          <cell r="E592">
            <v>18387.57</v>
          </cell>
        </row>
        <row r="593">
          <cell r="A593" t="str">
            <v>Germany</v>
          </cell>
          <cell r="E593">
            <v>9786.99</v>
          </cell>
        </row>
        <row r="594">
          <cell r="A594" t="str">
            <v>Germany</v>
          </cell>
          <cell r="E594">
            <v>2640.16</v>
          </cell>
        </row>
        <row r="595">
          <cell r="A595" t="str">
            <v>Germany</v>
          </cell>
          <cell r="E595">
            <v>1399.21</v>
          </cell>
        </row>
        <row r="596">
          <cell r="A596" t="str">
            <v>Germany</v>
          </cell>
          <cell r="E596">
            <v>18176.45</v>
          </cell>
        </row>
        <row r="597">
          <cell r="A597" t="str">
            <v>Germany</v>
          </cell>
          <cell r="E597">
            <v>9704.1200000000008</v>
          </cell>
        </row>
        <row r="598">
          <cell r="A598" t="str">
            <v>Germany</v>
          </cell>
          <cell r="E598">
            <v>2903.21</v>
          </cell>
        </row>
        <row r="599">
          <cell r="A599" t="str">
            <v>Germany</v>
          </cell>
          <cell r="E599">
            <v>1543.31</v>
          </cell>
        </row>
        <row r="600">
          <cell r="A600" t="str">
            <v>Germany</v>
          </cell>
          <cell r="E600">
            <v>18769.55</v>
          </cell>
        </row>
        <row r="601">
          <cell r="A601" t="str">
            <v>Germany</v>
          </cell>
          <cell r="E601">
            <v>10077.379999999999</v>
          </cell>
        </row>
        <row r="602">
          <cell r="A602" t="str">
            <v>Ghana</v>
          </cell>
          <cell r="E602">
            <v>286.33</v>
          </cell>
        </row>
        <row r="603">
          <cell r="A603" t="str">
            <v>Ghana</v>
          </cell>
          <cell r="E603">
            <v>95.38</v>
          </cell>
        </row>
        <row r="604">
          <cell r="A604" t="str">
            <v>Ghana</v>
          </cell>
          <cell r="E604">
            <v>517.89</v>
          </cell>
        </row>
        <row r="605">
          <cell r="A605" t="str">
            <v>Ghana</v>
          </cell>
          <cell r="E605">
            <v>172.39</v>
          </cell>
        </row>
        <row r="606">
          <cell r="A606" t="str">
            <v>Ghana</v>
          </cell>
          <cell r="E606">
            <v>292.44</v>
          </cell>
        </row>
        <row r="607">
          <cell r="A607" t="str">
            <v>Ghana</v>
          </cell>
          <cell r="E607">
            <v>97.3</v>
          </cell>
        </row>
        <row r="608">
          <cell r="A608" t="str">
            <v>Ghana</v>
          </cell>
          <cell r="E608">
            <v>539.77</v>
          </cell>
        </row>
        <row r="609">
          <cell r="A609" t="str">
            <v>Ghana</v>
          </cell>
          <cell r="E609">
            <v>179.35</v>
          </cell>
        </row>
        <row r="610">
          <cell r="A610" t="str">
            <v>Ghana</v>
          </cell>
          <cell r="E610">
            <v>309.32</v>
          </cell>
        </row>
        <row r="611">
          <cell r="A611" t="str">
            <v>Ghana</v>
          </cell>
          <cell r="E611">
            <v>102.67</v>
          </cell>
        </row>
        <row r="612">
          <cell r="A612" t="str">
            <v>Ghana</v>
          </cell>
          <cell r="E612">
            <v>582.91999999999996</v>
          </cell>
        </row>
        <row r="613">
          <cell r="A613" t="str">
            <v>Ghana</v>
          </cell>
          <cell r="E613">
            <v>193.6</v>
          </cell>
        </row>
        <row r="614">
          <cell r="A614" t="str">
            <v>Ghana</v>
          </cell>
          <cell r="E614">
            <v>284.58999999999997</v>
          </cell>
        </row>
        <row r="615">
          <cell r="A615" t="str">
            <v>Ghana</v>
          </cell>
          <cell r="E615">
            <v>95.13</v>
          </cell>
        </row>
        <row r="616">
          <cell r="A616" t="str">
            <v>Ghana</v>
          </cell>
          <cell r="E616">
            <v>539.57000000000005</v>
          </cell>
        </row>
        <row r="617">
          <cell r="A617" t="str">
            <v>Ghana</v>
          </cell>
          <cell r="E617">
            <v>180.3</v>
          </cell>
        </row>
        <row r="618">
          <cell r="A618" t="str">
            <v>Ghana</v>
          </cell>
          <cell r="E618">
            <v>255.61</v>
          </cell>
        </row>
        <row r="619">
          <cell r="A619" t="str">
            <v>Ghana</v>
          </cell>
          <cell r="E619">
            <v>85.41</v>
          </cell>
        </row>
        <row r="620">
          <cell r="A620" t="str">
            <v>Ghana</v>
          </cell>
          <cell r="E620">
            <v>478.09</v>
          </cell>
        </row>
        <row r="621">
          <cell r="A621" t="str">
            <v>Ghana</v>
          </cell>
          <cell r="E621">
            <v>159.69</v>
          </cell>
        </row>
        <row r="622">
          <cell r="A622" t="str">
            <v>Greece</v>
          </cell>
          <cell r="E622">
            <v>127.78</v>
          </cell>
        </row>
        <row r="623">
          <cell r="A623" t="str">
            <v>Greece</v>
          </cell>
          <cell r="E623">
            <v>45.27</v>
          </cell>
        </row>
        <row r="624">
          <cell r="A624" t="str">
            <v>Greece</v>
          </cell>
          <cell r="E624">
            <v>834.41</v>
          </cell>
        </row>
        <row r="625">
          <cell r="A625" t="str">
            <v>Greece</v>
          </cell>
          <cell r="E625">
            <v>294.75</v>
          </cell>
        </row>
        <row r="626">
          <cell r="A626" t="str">
            <v>Greece</v>
          </cell>
          <cell r="E626">
            <v>117.09</v>
          </cell>
        </row>
        <row r="627">
          <cell r="A627" t="str">
            <v>Greece</v>
          </cell>
          <cell r="E627">
            <v>41.46</v>
          </cell>
        </row>
        <row r="628">
          <cell r="A628" t="str">
            <v>Greece</v>
          </cell>
          <cell r="E628">
            <v>751.68</v>
          </cell>
        </row>
        <row r="629">
          <cell r="A629" t="str">
            <v>Greece</v>
          </cell>
          <cell r="E629">
            <v>265.38</v>
          </cell>
        </row>
        <row r="630">
          <cell r="A630" t="str">
            <v>Greece</v>
          </cell>
          <cell r="E630">
            <v>123.16</v>
          </cell>
        </row>
        <row r="631">
          <cell r="A631" t="str">
            <v>Greece</v>
          </cell>
          <cell r="E631">
            <v>43.61</v>
          </cell>
        </row>
        <row r="632">
          <cell r="A632" t="str">
            <v>Greece</v>
          </cell>
          <cell r="E632">
            <v>817.06</v>
          </cell>
        </row>
        <row r="633">
          <cell r="A633" t="str">
            <v>Greece</v>
          </cell>
          <cell r="E633">
            <v>290.27999999999997</v>
          </cell>
        </row>
        <row r="634">
          <cell r="A634" t="str">
            <v>Greece</v>
          </cell>
          <cell r="E634">
            <v>147.91999999999999</v>
          </cell>
        </row>
        <row r="635">
          <cell r="A635" t="str">
            <v>Greece</v>
          </cell>
          <cell r="E635">
            <v>52.36</v>
          </cell>
        </row>
        <row r="636">
          <cell r="A636" t="str">
            <v>Greece</v>
          </cell>
          <cell r="E636">
            <v>893.85</v>
          </cell>
        </row>
        <row r="637">
          <cell r="A637" t="str">
            <v>Greece</v>
          </cell>
          <cell r="E637">
            <v>318.43</v>
          </cell>
        </row>
        <row r="638">
          <cell r="A638" t="str">
            <v>Greece</v>
          </cell>
          <cell r="E638">
            <v>171.04</v>
          </cell>
        </row>
        <row r="639">
          <cell r="A639" t="str">
            <v>Greece</v>
          </cell>
          <cell r="E639">
            <v>60.73</v>
          </cell>
        </row>
        <row r="640">
          <cell r="A640" t="str">
            <v>Greece</v>
          </cell>
          <cell r="E640">
            <v>1022.71</v>
          </cell>
        </row>
        <row r="641">
          <cell r="A641" t="str">
            <v>Greece</v>
          </cell>
          <cell r="E641">
            <v>365.79</v>
          </cell>
        </row>
        <row r="642">
          <cell r="A642" t="str">
            <v>Hong Kong</v>
          </cell>
          <cell r="E642">
            <v>685.3</v>
          </cell>
        </row>
        <row r="643">
          <cell r="A643" t="str">
            <v>Hong Kong</v>
          </cell>
          <cell r="E643">
            <v>112.53</v>
          </cell>
        </row>
        <row r="644">
          <cell r="A644" t="str">
            <v>Hong Kong</v>
          </cell>
          <cell r="E644">
            <v>1065.77</v>
          </cell>
        </row>
        <row r="645">
          <cell r="A645" t="str">
            <v>Hong Kong</v>
          </cell>
          <cell r="E645">
            <v>130.33000000000001</v>
          </cell>
        </row>
        <row r="646">
          <cell r="A646" t="str">
            <v>Hong Kong</v>
          </cell>
          <cell r="E646">
            <v>923.97</v>
          </cell>
        </row>
        <row r="647">
          <cell r="A647" t="str">
            <v>Hong Kong</v>
          </cell>
          <cell r="E647">
            <v>151.58000000000001</v>
          </cell>
        </row>
        <row r="648">
          <cell r="A648" t="str">
            <v>Hong Kong</v>
          </cell>
          <cell r="E648">
            <v>1397.46</v>
          </cell>
        </row>
        <row r="649">
          <cell r="A649" t="str">
            <v>Hong Kong</v>
          </cell>
          <cell r="E649">
            <v>170.02</v>
          </cell>
        </row>
        <row r="650">
          <cell r="A650" t="str">
            <v>Hong Kong</v>
          </cell>
          <cell r="E650">
            <v>956.5</v>
          </cell>
        </row>
        <row r="651">
          <cell r="A651" t="str">
            <v>Hong Kong</v>
          </cell>
          <cell r="E651">
            <v>156.91999999999999</v>
          </cell>
        </row>
        <row r="652">
          <cell r="A652" t="str">
            <v>Hong Kong</v>
          </cell>
          <cell r="E652">
            <v>1422.37</v>
          </cell>
        </row>
        <row r="653">
          <cell r="A653" t="str">
            <v>Hong Kong</v>
          </cell>
          <cell r="E653">
            <v>173.83</v>
          </cell>
        </row>
        <row r="654">
          <cell r="A654" t="str">
            <v>Hong Kong</v>
          </cell>
          <cell r="E654">
            <v>841.71</v>
          </cell>
        </row>
        <row r="655">
          <cell r="A655" t="str">
            <v>Hong Kong</v>
          </cell>
          <cell r="E655">
            <v>138.08000000000001</v>
          </cell>
        </row>
        <row r="656">
          <cell r="A656" t="str">
            <v>Hong Kong</v>
          </cell>
          <cell r="E656">
            <v>1234.6099999999999</v>
          </cell>
        </row>
        <row r="657">
          <cell r="A657" t="str">
            <v>Hong Kong</v>
          </cell>
          <cell r="E657">
            <v>151.58000000000001</v>
          </cell>
        </row>
        <row r="658">
          <cell r="A658" t="str">
            <v>Hong Kong</v>
          </cell>
          <cell r="E658">
            <v>908.31</v>
          </cell>
        </row>
        <row r="659">
          <cell r="A659" t="str">
            <v>Hong Kong</v>
          </cell>
          <cell r="E659">
            <v>149.26</v>
          </cell>
        </row>
        <row r="660">
          <cell r="A660" t="str">
            <v>Hong Kong</v>
          </cell>
          <cell r="E660">
            <v>1310.96</v>
          </cell>
        </row>
        <row r="661">
          <cell r="A661" t="str">
            <v>Hong Kong</v>
          </cell>
          <cell r="E661">
            <v>160.72</v>
          </cell>
        </row>
        <row r="662">
          <cell r="A662" t="str">
            <v>Hungary</v>
          </cell>
          <cell r="E662">
            <v>843.72</v>
          </cell>
        </row>
        <row r="663">
          <cell r="A663" t="str">
            <v>Hungary</v>
          </cell>
          <cell r="E663">
            <v>156.63</v>
          </cell>
        </row>
        <row r="664">
          <cell r="A664" t="str">
            <v>Hungary</v>
          </cell>
          <cell r="E664">
            <v>2261.7399999999998</v>
          </cell>
        </row>
        <row r="665">
          <cell r="A665" t="str">
            <v>Hungary</v>
          </cell>
          <cell r="E665">
            <v>618.37</v>
          </cell>
        </row>
        <row r="666">
          <cell r="A666" t="str">
            <v>Hungary</v>
          </cell>
          <cell r="E666">
            <v>645.66</v>
          </cell>
        </row>
        <row r="667">
          <cell r="A667" t="str">
            <v>Hungary</v>
          </cell>
          <cell r="E667">
            <v>119.8</v>
          </cell>
        </row>
        <row r="668">
          <cell r="A668" t="str">
            <v>Hungary</v>
          </cell>
          <cell r="E668">
            <v>2070.52</v>
          </cell>
        </row>
        <row r="669">
          <cell r="A669" t="str">
            <v>Hungary</v>
          </cell>
          <cell r="E669">
            <v>565.48</v>
          </cell>
        </row>
        <row r="670">
          <cell r="A670" t="str">
            <v>Hungary</v>
          </cell>
          <cell r="E670">
            <v>688.96</v>
          </cell>
        </row>
        <row r="671">
          <cell r="A671" t="str">
            <v>Hungary</v>
          </cell>
          <cell r="E671">
            <v>127.54</v>
          </cell>
        </row>
        <row r="672">
          <cell r="A672" t="str">
            <v>Hungary</v>
          </cell>
          <cell r="E672">
            <v>2023.1</v>
          </cell>
        </row>
        <row r="673">
          <cell r="A673" t="str">
            <v>Hungary</v>
          </cell>
          <cell r="E673">
            <v>551.83000000000004</v>
          </cell>
        </row>
        <row r="674">
          <cell r="A674" t="str">
            <v>Hungary</v>
          </cell>
          <cell r="E674">
            <v>694.66</v>
          </cell>
        </row>
        <row r="675">
          <cell r="A675" t="str">
            <v>Hungary</v>
          </cell>
          <cell r="E675">
            <v>128.28</v>
          </cell>
        </row>
        <row r="676">
          <cell r="A676" t="str">
            <v>Hungary</v>
          </cell>
          <cell r="E676">
            <v>1989.36</v>
          </cell>
        </row>
        <row r="677">
          <cell r="A677" t="str">
            <v>Hungary</v>
          </cell>
          <cell r="E677">
            <v>541.91999999999996</v>
          </cell>
        </row>
        <row r="678">
          <cell r="A678" t="str">
            <v>Hungary</v>
          </cell>
          <cell r="E678">
            <v>713.06</v>
          </cell>
        </row>
        <row r="679">
          <cell r="A679" t="str">
            <v>Hungary</v>
          </cell>
          <cell r="E679">
            <v>131.59</v>
          </cell>
        </row>
        <row r="680">
          <cell r="A680" t="str">
            <v>Hungary</v>
          </cell>
          <cell r="E680">
            <v>1917.97</v>
          </cell>
        </row>
        <row r="681">
          <cell r="A681" t="str">
            <v>Hungary</v>
          </cell>
          <cell r="E681">
            <v>522.21</v>
          </cell>
        </row>
        <row r="682">
          <cell r="A682" t="str">
            <v>India</v>
          </cell>
          <cell r="E682">
            <v>29621.67</v>
          </cell>
        </row>
        <row r="683">
          <cell r="A683" t="str">
            <v>India</v>
          </cell>
          <cell r="E683">
            <v>3797.69</v>
          </cell>
        </row>
        <row r="684">
          <cell r="A684" t="str">
            <v>India</v>
          </cell>
          <cell r="E684">
            <v>39373.51</v>
          </cell>
        </row>
        <row r="685">
          <cell r="A685" t="str">
            <v>India</v>
          </cell>
          <cell r="E685">
            <v>5045.17</v>
          </cell>
        </row>
        <row r="686">
          <cell r="A686" t="str">
            <v>India</v>
          </cell>
          <cell r="E686">
            <v>27719.01</v>
          </cell>
        </row>
        <row r="687">
          <cell r="A687" t="str">
            <v>India</v>
          </cell>
          <cell r="E687">
            <v>3559.96</v>
          </cell>
        </row>
        <row r="688">
          <cell r="A688" t="str">
            <v>India</v>
          </cell>
          <cell r="E688">
            <v>36574.79</v>
          </cell>
        </row>
        <row r="689">
          <cell r="A689" t="str">
            <v>India</v>
          </cell>
          <cell r="E689">
            <v>4690.46</v>
          </cell>
        </row>
        <row r="690">
          <cell r="A690" t="str">
            <v>India</v>
          </cell>
          <cell r="E690">
            <v>35292.699999999997</v>
          </cell>
        </row>
        <row r="691">
          <cell r="A691" t="str">
            <v>India</v>
          </cell>
          <cell r="E691">
            <v>4532.3599999999997</v>
          </cell>
        </row>
        <row r="692">
          <cell r="A692" t="str">
            <v>India</v>
          </cell>
          <cell r="E692">
            <v>46288.74</v>
          </cell>
        </row>
        <row r="693">
          <cell r="A693" t="str">
            <v>India</v>
          </cell>
          <cell r="E693">
            <v>5966.9</v>
          </cell>
        </row>
        <row r="694">
          <cell r="A694" t="str">
            <v>India</v>
          </cell>
          <cell r="E694">
            <v>39391.21</v>
          </cell>
        </row>
        <row r="695">
          <cell r="A695" t="str">
            <v>India</v>
          </cell>
          <cell r="E695">
            <v>5061.1499999999996</v>
          </cell>
        </row>
        <row r="696">
          <cell r="A696" t="str">
            <v>India</v>
          </cell>
          <cell r="E696">
            <v>51395.74</v>
          </cell>
        </row>
        <row r="697">
          <cell r="A697" t="str">
            <v>India</v>
          </cell>
          <cell r="E697">
            <v>6619.15</v>
          </cell>
        </row>
        <row r="698">
          <cell r="A698" t="str">
            <v>India</v>
          </cell>
          <cell r="E698">
            <v>42008.52</v>
          </cell>
        </row>
        <row r="699">
          <cell r="A699" t="str">
            <v>India</v>
          </cell>
          <cell r="E699">
            <v>5409.05</v>
          </cell>
        </row>
        <row r="700">
          <cell r="A700" t="str">
            <v>India</v>
          </cell>
          <cell r="E700">
            <v>54564.51</v>
          </cell>
        </row>
        <row r="701">
          <cell r="A701" t="str">
            <v>India</v>
          </cell>
          <cell r="E701">
            <v>7042.25</v>
          </cell>
        </row>
        <row r="702">
          <cell r="A702" t="str">
            <v>Indonesia</v>
          </cell>
          <cell r="E702">
            <v>22083.83</v>
          </cell>
        </row>
        <row r="703">
          <cell r="A703" t="str">
            <v>Indonesia</v>
          </cell>
          <cell r="E703">
            <v>2306.23</v>
          </cell>
        </row>
        <row r="704">
          <cell r="A704" t="str">
            <v>Indonesia</v>
          </cell>
          <cell r="E704">
            <v>25603.83</v>
          </cell>
        </row>
        <row r="705">
          <cell r="A705" t="str">
            <v>Indonesia</v>
          </cell>
          <cell r="E705">
            <v>2716.61</v>
          </cell>
        </row>
        <row r="706">
          <cell r="A706" t="str">
            <v>Indonesia</v>
          </cell>
          <cell r="E706">
            <v>21592.62</v>
          </cell>
        </row>
        <row r="707">
          <cell r="A707" t="str">
            <v>Indonesia</v>
          </cell>
          <cell r="E707">
            <v>2250.85</v>
          </cell>
        </row>
        <row r="708">
          <cell r="A708" t="str">
            <v>Indonesia</v>
          </cell>
          <cell r="E708">
            <v>25585.69</v>
          </cell>
        </row>
        <row r="709">
          <cell r="A709" t="str">
            <v>Indonesia</v>
          </cell>
          <cell r="E709">
            <v>2710.14</v>
          </cell>
        </row>
        <row r="710">
          <cell r="A710" t="str">
            <v>Indonesia</v>
          </cell>
          <cell r="E710">
            <v>22292.62</v>
          </cell>
        </row>
        <row r="711">
          <cell r="A711" t="str">
            <v>Indonesia</v>
          </cell>
          <cell r="E711">
            <v>2322.64</v>
          </cell>
        </row>
        <row r="712">
          <cell r="A712" t="str">
            <v>Indonesia</v>
          </cell>
          <cell r="E712">
            <v>26167.759999999998</v>
          </cell>
        </row>
        <row r="713">
          <cell r="A713" t="str">
            <v>Indonesia</v>
          </cell>
          <cell r="E713">
            <v>2777.74</v>
          </cell>
        </row>
        <row r="714">
          <cell r="A714" t="str">
            <v>Indonesia</v>
          </cell>
          <cell r="E714">
            <v>23115.42</v>
          </cell>
        </row>
        <row r="715">
          <cell r="A715" t="str">
            <v>Indonesia</v>
          </cell>
          <cell r="E715">
            <v>2406.5300000000002</v>
          </cell>
        </row>
        <row r="716">
          <cell r="A716" t="str">
            <v>Indonesia</v>
          </cell>
          <cell r="E716">
            <v>27144.7</v>
          </cell>
        </row>
        <row r="717">
          <cell r="A717" t="str">
            <v>Indonesia</v>
          </cell>
          <cell r="E717">
            <v>2886.83</v>
          </cell>
        </row>
        <row r="718">
          <cell r="A718" t="str">
            <v>Indonesia</v>
          </cell>
          <cell r="E718">
            <v>24539.57</v>
          </cell>
        </row>
        <row r="719">
          <cell r="A719" t="str">
            <v>Indonesia</v>
          </cell>
          <cell r="E719">
            <v>2557.92</v>
          </cell>
        </row>
        <row r="720">
          <cell r="A720" t="str">
            <v>Indonesia</v>
          </cell>
          <cell r="E720">
            <v>28918.12</v>
          </cell>
        </row>
        <row r="721">
          <cell r="A721" t="str">
            <v>Indonesia</v>
          </cell>
          <cell r="E721">
            <v>3079.19</v>
          </cell>
        </row>
        <row r="722">
          <cell r="A722" t="str">
            <v>Iran</v>
          </cell>
          <cell r="E722">
            <v>390.33</v>
          </cell>
        </row>
        <row r="723">
          <cell r="A723" t="str">
            <v>Iran</v>
          </cell>
          <cell r="E723">
            <v>70.13</v>
          </cell>
        </row>
        <row r="724">
          <cell r="A724" t="str">
            <v>Iran</v>
          </cell>
          <cell r="E724">
            <v>1799.02</v>
          </cell>
        </row>
        <row r="725">
          <cell r="A725" t="str">
            <v>Iran</v>
          </cell>
          <cell r="E725">
            <v>323.89999999999998</v>
          </cell>
        </row>
        <row r="726">
          <cell r="A726" t="str">
            <v>Iran</v>
          </cell>
          <cell r="E726">
            <v>389.11</v>
          </cell>
        </row>
        <row r="727">
          <cell r="A727" t="str">
            <v>Iran</v>
          </cell>
          <cell r="E727">
            <v>69.900000000000006</v>
          </cell>
        </row>
        <row r="728">
          <cell r="A728" t="str">
            <v>Iran</v>
          </cell>
          <cell r="E728">
            <v>1792.83</v>
          </cell>
        </row>
        <row r="729">
          <cell r="A729" t="str">
            <v>Iran</v>
          </cell>
          <cell r="E729">
            <v>322.73</v>
          </cell>
        </row>
        <row r="730">
          <cell r="A730" t="str">
            <v>Iran</v>
          </cell>
          <cell r="E730">
            <v>441.43</v>
          </cell>
        </row>
        <row r="731">
          <cell r="A731" t="str">
            <v>Iran</v>
          </cell>
          <cell r="E731">
            <v>79.349999999999994</v>
          </cell>
        </row>
        <row r="732">
          <cell r="A732" t="str">
            <v>Iran</v>
          </cell>
          <cell r="E732">
            <v>2034.51</v>
          </cell>
        </row>
        <row r="733">
          <cell r="A733" t="str">
            <v>Iran</v>
          </cell>
          <cell r="E733">
            <v>366</v>
          </cell>
        </row>
        <row r="734">
          <cell r="A734" t="str">
            <v>Iran</v>
          </cell>
          <cell r="E734">
            <v>434.44</v>
          </cell>
        </row>
        <row r="735">
          <cell r="A735" t="str">
            <v>Iran</v>
          </cell>
          <cell r="E735">
            <v>78.180000000000007</v>
          </cell>
        </row>
        <row r="736">
          <cell r="A736" t="str">
            <v>Iran</v>
          </cell>
          <cell r="E736">
            <v>2017.8</v>
          </cell>
        </row>
        <row r="737">
          <cell r="A737" t="str">
            <v>Iran</v>
          </cell>
          <cell r="E737">
            <v>362.85</v>
          </cell>
        </row>
        <row r="738">
          <cell r="A738" t="str">
            <v>Iran</v>
          </cell>
          <cell r="E738">
            <v>456.97</v>
          </cell>
        </row>
        <row r="739">
          <cell r="A739" t="str">
            <v>Iran</v>
          </cell>
          <cell r="E739">
            <v>82.19</v>
          </cell>
        </row>
        <row r="740">
          <cell r="A740" t="str">
            <v>Iran</v>
          </cell>
          <cell r="E740">
            <v>2118.02</v>
          </cell>
        </row>
        <row r="741">
          <cell r="A741" t="str">
            <v>Iran</v>
          </cell>
          <cell r="E741">
            <v>380.76</v>
          </cell>
        </row>
        <row r="742">
          <cell r="A742" t="str">
            <v>Iraq</v>
          </cell>
          <cell r="E742">
            <v>387.39</v>
          </cell>
        </row>
        <row r="743">
          <cell r="A743" t="str">
            <v>Iraq</v>
          </cell>
          <cell r="E743">
            <v>90.99</v>
          </cell>
        </row>
        <row r="744">
          <cell r="A744" t="str">
            <v>Iraq</v>
          </cell>
          <cell r="E744">
            <v>1414.21</v>
          </cell>
        </row>
        <row r="745">
          <cell r="A745" t="str">
            <v>Iraq</v>
          </cell>
          <cell r="E745">
            <v>332.2</v>
          </cell>
        </row>
        <row r="746">
          <cell r="A746" t="str">
            <v>Iraq</v>
          </cell>
          <cell r="E746">
            <v>154.33000000000001</v>
          </cell>
        </row>
        <row r="747">
          <cell r="A747" t="str">
            <v>Iraq</v>
          </cell>
          <cell r="E747">
            <v>36.22</v>
          </cell>
        </row>
        <row r="748">
          <cell r="A748" t="str">
            <v>Iraq</v>
          </cell>
          <cell r="E748">
            <v>610.67999999999995</v>
          </cell>
        </row>
        <row r="749">
          <cell r="A749" t="str">
            <v>Iraq</v>
          </cell>
          <cell r="E749">
            <v>143.34</v>
          </cell>
        </row>
        <row r="750">
          <cell r="A750" t="str">
            <v>Iraq</v>
          </cell>
          <cell r="E750">
            <v>150.13</v>
          </cell>
        </row>
        <row r="751">
          <cell r="A751" t="str">
            <v>Iraq</v>
          </cell>
          <cell r="E751">
            <v>35.270000000000003</v>
          </cell>
        </row>
        <row r="752">
          <cell r="A752" t="str">
            <v>Iraq</v>
          </cell>
          <cell r="E752">
            <v>581.85</v>
          </cell>
        </row>
        <row r="753">
          <cell r="A753" t="str">
            <v>Iraq</v>
          </cell>
          <cell r="E753">
            <v>136.5</v>
          </cell>
        </row>
        <row r="754">
          <cell r="A754" t="str">
            <v>Iraq</v>
          </cell>
          <cell r="E754">
            <v>143.56</v>
          </cell>
        </row>
        <row r="755">
          <cell r="A755" t="str">
            <v>Iraq</v>
          </cell>
          <cell r="E755">
            <v>33.97</v>
          </cell>
        </row>
        <row r="756">
          <cell r="A756" t="str">
            <v>Iraq</v>
          </cell>
          <cell r="E756">
            <v>605.78</v>
          </cell>
        </row>
        <row r="757">
          <cell r="A757" t="str">
            <v>Iraq</v>
          </cell>
          <cell r="E757">
            <v>143.16</v>
          </cell>
        </row>
        <row r="758">
          <cell r="A758" t="str">
            <v>Iraq</v>
          </cell>
          <cell r="E758">
            <v>149.46</v>
          </cell>
        </row>
        <row r="759">
          <cell r="A759" t="str">
            <v>Iraq</v>
          </cell>
          <cell r="E759">
            <v>35.71</v>
          </cell>
        </row>
        <row r="760">
          <cell r="A760" t="str">
            <v>Iraq</v>
          </cell>
          <cell r="E760">
            <v>638.27</v>
          </cell>
        </row>
        <row r="761">
          <cell r="A761" t="str">
            <v>Iraq</v>
          </cell>
          <cell r="E761">
            <v>152.25</v>
          </cell>
        </row>
        <row r="762">
          <cell r="A762" t="str">
            <v>Ireland</v>
          </cell>
          <cell r="E762">
            <v>74.64</v>
          </cell>
        </row>
        <row r="763">
          <cell r="A763" t="str">
            <v>Ireland</v>
          </cell>
          <cell r="E763">
            <v>28.25</v>
          </cell>
        </row>
        <row r="764">
          <cell r="A764" t="str">
            <v>Ireland</v>
          </cell>
          <cell r="E764">
            <v>544.11</v>
          </cell>
        </row>
        <row r="765">
          <cell r="A765" t="str">
            <v>Ireland</v>
          </cell>
          <cell r="E765">
            <v>206.75</v>
          </cell>
        </row>
        <row r="766">
          <cell r="A766" t="str">
            <v>Ireland</v>
          </cell>
          <cell r="E766">
            <v>71.77</v>
          </cell>
        </row>
        <row r="767">
          <cell r="A767" t="str">
            <v>Ireland</v>
          </cell>
          <cell r="E767">
            <v>27.15</v>
          </cell>
        </row>
        <row r="768">
          <cell r="A768" t="str">
            <v>Ireland</v>
          </cell>
          <cell r="E768">
            <v>500.44</v>
          </cell>
        </row>
        <row r="769">
          <cell r="A769" t="str">
            <v>Ireland</v>
          </cell>
          <cell r="E769">
            <v>190.07</v>
          </cell>
        </row>
        <row r="770">
          <cell r="A770" t="str">
            <v>Ireland</v>
          </cell>
          <cell r="E770">
            <v>83.16</v>
          </cell>
        </row>
        <row r="771">
          <cell r="A771" t="str">
            <v>Ireland</v>
          </cell>
          <cell r="E771">
            <v>31.48</v>
          </cell>
        </row>
        <row r="772">
          <cell r="A772" t="str">
            <v>Ireland</v>
          </cell>
          <cell r="E772">
            <v>572.33000000000004</v>
          </cell>
        </row>
        <row r="773">
          <cell r="A773" t="str">
            <v>Ireland</v>
          </cell>
          <cell r="E773">
            <v>217.76</v>
          </cell>
        </row>
        <row r="774">
          <cell r="A774" t="str">
            <v>Ireland</v>
          </cell>
          <cell r="E774">
            <v>80.55</v>
          </cell>
        </row>
        <row r="775">
          <cell r="A775" t="str">
            <v>Ireland</v>
          </cell>
          <cell r="E775">
            <v>30.49</v>
          </cell>
        </row>
        <row r="776">
          <cell r="A776" t="str">
            <v>Ireland</v>
          </cell>
          <cell r="E776">
            <v>550.61</v>
          </cell>
        </row>
        <row r="777">
          <cell r="A777" t="str">
            <v>Ireland</v>
          </cell>
          <cell r="E777">
            <v>210.17</v>
          </cell>
        </row>
        <row r="778">
          <cell r="A778" t="str">
            <v>Ireland</v>
          </cell>
          <cell r="E778">
            <v>90.99</v>
          </cell>
        </row>
        <row r="779">
          <cell r="A779" t="str">
            <v>Ireland</v>
          </cell>
          <cell r="E779">
            <v>34.54</v>
          </cell>
        </row>
        <row r="780">
          <cell r="A780" t="str">
            <v>Ireland</v>
          </cell>
          <cell r="E780">
            <v>610.38</v>
          </cell>
        </row>
        <row r="781">
          <cell r="A781" t="str">
            <v>Ireland</v>
          </cell>
          <cell r="E781">
            <v>232.9</v>
          </cell>
        </row>
        <row r="782">
          <cell r="A782" t="str">
            <v>Israel</v>
          </cell>
          <cell r="E782">
            <v>442.55</v>
          </cell>
        </row>
        <row r="783">
          <cell r="A783" t="str">
            <v>Israel</v>
          </cell>
          <cell r="E783">
            <v>107.16</v>
          </cell>
        </row>
        <row r="784">
          <cell r="A784" t="str">
            <v>Israel</v>
          </cell>
          <cell r="E784">
            <v>1777.41</v>
          </cell>
        </row>
        <row r="785">
          <cell r="A785" t="str">
            <v>Israel</v>
          </cell>
          <cell r="E785">
            <v>427.66</v>
          </cell>
        </row>
        <row r="786">
          <cell r="A786" t="str">
            <v>Israel</v>
          </cell>
          <cell r="E786">
            <v>451.4</v>
          </cell>
        </row>
        <row r="787">
          <cell r="A787" t="str">
            <v>Israel</v>
          </cell>
          <cell r="E787">
            <v>109.31</v>
          </cell>
        </row>
        <row r="788">
          <cell r="A788" t="str">
            <v>Israel</v>
          </cell>
          <cell r="E788">
            <v>1785.04</v>
          </cell>
        </row>
        <row r="789">
          <cell r="A789" t="str">
            <v>Israel</v>
          </cell>
          <cell r="E789">
            <v>429.26</v>
          </cell>
        </row>
        <row r="790">
          <cell r="A790" t="str">
            <v>Israel</v>
          </cell>
          <cell r="E790">
            <v>495.63</v>
          </cell>
        </row>
        <row r="791">
          <cell r="A791" t="str">
            <v>Israel</v>
          </cell>
          <cell r="E791">
            <v>119.88</v>
          </cell>
        </row>
        <row r="792">
          <cell r="A792" t="str">
            <v>Israel</v>
          </cell>
          <cell r="E792">
            <v>1931.85</v>
          </cell>
        </row>
        <row r="793">
          <cell r="A793" t="str">
            <v>Israel</v>
          </cell>
          <cell r="E793">
            <v>464.37</v>
          </cell>
        </row>
        <row r="794">
          <cell r="A794" t="str">
            <v>Israel</v>
          </cell>
          <cell r="E794">
            <v>574</v>
          </cell>
        </row>
        <row r="795">
          <cell r="A795" t="str">
            <v>Israel</v>
          </cell>
          <cell r="E795">
            <v>139.88999999999999</v>
          </cell>
        </row>
        <row r="796">
          <cell r="A796" t="str">
            <v>Israel</v>
          </cell>
          <cell r="E796">
            <v>2154.4899999999998</v>
          </cell>
        </row>
        <row r="797">
          <cell r="A797" t="str">
            <v>Israel</v>
          </cell>
          <cell r="E797">
            <v>521.87</v>
          </cell>
        </row>
        <row r="798">
          <cell r="A798" t="str">
            <v>Israel</v>
          </cell>
          <cell r="E798">
            <v>567.35</v>
          </cell>
        </row>
        <row r="799">
          <cell r="A799" t="str">
            <v>Israel</v>
          </cell>
          <cell r="E799">
            <v>138.19</v>
          </cell>
        </row>
        <row r="800">
          <cell r="A800" t="str">
            <v>Israel</v>
          </cell>
          <cell r="E800">
            <v>2075.0500000000002</v>
          </cell>
        </row>
        <row r="801">
          <cell r="A801" t="str">
            <v>Israel</v>
          </cell>
          <cell r="E801">
            <v>502.37</v>
          </cell>
        </row>
        <row r="802">
          <cell r="A802" t="str">
            <v>Italy</v>
          </cell>
          <cell r="E802">
            <v>2327.89</v>
          </cell>
        </row>
        <row r="803">
          <cell r="A803" t="str">
            <v>Italy</v>
          </cell>
          <cell r="E803">
            <v>1082.6199999999999</v>
          </cell>
        </row>
        <row r="804">
          <cell r="A804" t="str">
            <v>Italy</v>
          </cell>
          <cell r="E804">
            <v>9167.07</v>
          </cell>
        </row>
        <row r="805">
          <cell r="A805" t="str">
            <v>Italy</v>
          </cell>
          <cell r="E805">
            <v>4365.37</v>
          </cell>
        </row>
        <row r="806">
          <cell r="A806" t="str">
            <v>Italy</v>
          </cell>
          <cell r="E806">
            <v>2302.5</v>
          </cell>
        </row>
        <row r="807">
          <cell r="A807" t="str">
            <v>Italy</v>
          </cell>
          <cell r="E807">
            <v>1070.33</v>
          </cell>
        </row>
        <row r="808">
          <cell r="A808" t="str">
            <v>Italy</v>
          </cell>
          <cell r="E808">
            <v>8851.2000000000007</v>
          </cell>
        </row>
        <row r="809">
          <cell r="A809" t="str">
            <v>Italy</v>
          </cell>
          <cell r="E809">
            <v>4213.1400000000003</v>
          </cell>
        </row>
        <row r="810">
          <cell r="A810" t="str">
            <v>Italy</v>
          </cell>
          <cell r="E810">
            <v>2806.02</v>
          </cell>
        </row>
        <row r="811">
          <cell r="A811" t="str">
            <v>Italy</v>
          </cell>
          <cell r="E811">
            <v>1304.8399999999999</v>
          </cell>
        </row>
        <row r="812">
          <cell r="A812" t="str">
            <v>Italy</v>
          </cell>
          <cell r="E812">
            <v>10950.59</v>
          </cell>
        </row>
        <row r="813">
          <cell r="A813" t="str">
            <v>Italy</v>
          </cell>
          <cell r="E813">
            <v>5229.99</v>
          </cell>
        </row>
        <row r="814">
          <cell r="A814" t="str">
            <v>Italy</v>
          </cell>
          <cell r="E814">
            <v>2898.19</v>
          </cell>
        </row>
        <row r="815">
          <cell r="A815" t="str">
            <v>Italy</v>
          </cell>
          <cell r="E815">
            <v>1347.33</v>
          </cell>
        </row>
        <row r="816">
          <cell r="A816" t="str">
            <v>Italy</v>
          </cell>
          <cell r="E816">
            <v>11359.76</v>
          </cell>
        </row>
        <row r="817">
          <cell r="A817" t="str">
            <v>Italy</v>
          </cell>
          <cell r="E817">
            <v>5443.29</v>
          </cell>
        </row>
        <row r="818">
          <cell r="A818" t="str">
            <v>Italy</v>
          </cell>
          <cell r="E818">
            <v>3329.16</v>
          </cell>
        </row>
        <row r="819">
          <cell r="A819" t="str">
            <v>Italy</v>
          </cell>
          <cell r="E819">
            <v>1552.97</v>
          </cell>
        </row>
        <row r="820">
          <cell r="A820" t="str">
            <v>Italy</v>
          </cell>
          <cell r="E820">
            <v>13038.66</v>
          </cell>
        </row>
        <row r="821">
          <cell r="A821" t="str">
            <v>Italy</v>
          </cell>
          <cell r="E821">
            <v>6277.57</v>
          </cell>
        </row>
        <row r="822">
          <cell r="A822" t="str">
            <v>Japan</v>
          </cell>
          <cell r="E822">
            <v>16569.240000000002</v>
          </cell>
        </row>
        <row r="823">
          <cell r="A823" t="str">
            <v>Japan</v>
          </cell>
          <cell r="E823">
            <v>6847.63</v>
          </cell>
        </row>
        <row r="824">
          <cell r="A824" t="str">
            <v>Japan</v>
          </cell>
          <cell r="E824">
            <v>25688.73</v>
          </cell>
        </row>
        <row r="825">
          <cell r="A825" t="str">
            <v>Japan</v>
          </cell>
          <cell r="E825">
            <v>10864.04</v>
          </cell>
        </row>
        <row r="826">
          <cell r="A826" t="str">
            <v>Japan</v>
          </cell>
          <cell r="E826">
            <v>17484.04</v>
          </cell>
        </row>
        <row r="827">
          <cell r="A827" t="str">
            <v>Japan</v>
          </cell>
          <cell r="E827">
            <v>7222.34</v>
          </cell>
        </row>
        <row r="828">
          <cell r="A828" t="str">
            <v>Japan</v>
          </cell>
          <cell r="E828">
            <v>27105.21</v>
          </cell>
        </row>
        <row r="829">
          <cell r="A829" t="str">
            <v>Japan</v>
          </cell>
          <cell r="E829">
            <v>11457.05</v>
          </cell>
        </row>
        <row r="830">
          <cell r="A830" t="str">
            <v>Japan</v>
          </cell>
          <cell r="E830">
            <v>16898.52</v>
          </cell>
        </row>
        <row r="831">
          <cell r="A831" t="str">
            <v>Japan</v>
          </cell>
          <cell r="E831">
            <v>6985.95</v>
          </cell>
        </row>
        <row r="832">
          <cell r="A832" t="str">
            <v>Japan</v>
          </cell>
          <cell r="E832">
            <v>26194.58</v>
          </cell>
        </row>
        <row r="833">
          <cell r="A833" t="str">
            <v>Japan</v>
          </cell>
          <cell r="E833">
            <v>11092.9</v>
          </cell>
        </row>
        <row r="834">
          <cell r="A834" t="str">
            <v>Japan</v>
          </cell>
          <cell r="E834">
            <v>15557.12</v>
          </cell>
        </row>
        <row r="835">
          <cell r="A835" t="str">
            <v>Japan</v>
          </cell>
          <cell r="E835">
            <v>6434.7</v>
          </cell>
        </row>
        <row r="836">
          <cell r="A836" t="str">
            <v>Japan</v>
          </cell>
          <cell r="E836">
            <v>23982.720000000001</v>
          </cell>
        </row>
        <row r="837">
          <cell r="A837" t="str">
            <v>Japan</v>
          </cell>
          <cell r="E837">
            <v>10220.49</v>
          </cell>
        </row>
        <row r="838">
          <cell r="A838" t="str">
            <v>Japan</v>
          </cell>
          <cell r="E838">
            <v>15668.51</v>
          </cell>
        </row>
        <row r="839">
          <cell r="A839" t="str">
            <v>Japan</v>
          </cell>
          <cell r="E839">
            <v>6501.38</v>
          </cell>
        </row>
        <row r="840">
          <cell r="A840" t="str">
            <v>Japan</v>
          </cell>
          <cell r="E840">
            <v>23645.84</v>
          </cell>
        </row>
        <row r="841">
          <cell r="A841" t="str">
            <v>Japan</v>
          </cell>
          <cell r="E841">
            <v>10109.18</v>
          </cell>
        </row>
        <row r="842">
          <cell r="A842" t="str">
            <v>Kazakhstan</v>
          </cell>
          <cell r="E842">
            <v>195.65</v>
          </cell>
        </row>
        <row r="843">
          <cell r="A843" t="str">
            <v>Kazakhstan</v>
          </cell>
          <cell r="E843">
            <v>31.61</v>
          </cell>
        </row>
        <row r="844">
          <cell r="A844" t="str">
            <v>Kazakhstan</v>
          </cell>
          <cell r="E844">
            <v>1865.26</v>
          </cell>
        </row>
        <row r="845">
          <cell r="A845" t="str">
            <v>Kazakhstan</v>
          </cell>
          <cell r="E845">
            <v>301.56</v>
          </cell>
        </row>
        <row r="846">
          <cell r="A846" t="str">
            <v>Kazakhstan</v>
          </cell>
          <cell r="E846">
            <v>230.78</v>
          </cell>
        </row>
        <row r="847">
          <cell r="A847" t="str">
            <v>Kazakhstan</v>
          </cell>
          <cell r="E847">
            <v>37.22</v>
          </cell>
        </row>
        <row r="848">
          <cell r="A848" t="str">
            <v>Kazakhstan</v>
          </cell>
          <cell r="E848">
            <v>2139.38</v>
          </cell>
        </row>
        <row r="849">
          <cell r="A849" t="str">
            <v>Kazakhstan</v>
          </cell>
          <cell r="E849">
            <v>345.35</v>
          </cell>
        </row>
        <row r="850">
          <cell r="A850" t="str">
            <v>Kazakhstan</v>
          </cell>
          <cell r="E850">
            <v>262.44</v>
          </cell>
        </row>
        <row r="851">
          <cell r="A851" t="str">
            <v>Kazakhstan</v>
          </cell>
          <cell r="E851">
            <v>42.24</v>
          </cell>
        </row>
        <row r="852">
          <cell r="A852" t="str">
            <v>Kazakhstan</v>
          </cell>
          <cell r="E852">
            <v>2388.0300000000002</v>
          </cell>
        </row>
        <row r="853">
          <cell r="A853" t="str">
            <v>Kazakhstan</v>
          </cell>
          <cell r="E853">
            <v>385.19</v>
          </cell>
        </row>
        <row r="854">
          <cell r="A854" t="str">
            <v>Kazakhstan</v>
          </cell>
          <cell r="E854">
            <v>296.52</v>
          </cell>
        </row>
        <row r="855">
          <cell r="A855" t="str">
            <v>Kazakhstan</v>
          </cell>
          <cell r="E855">
            <v>47.5</v>
          </cell>
        </row>
        <row r="856">
          <cell r="A856" t="str">
            <v>Kazakhstan</v>
          </cell>
          <cell r="E856">
            <v>2647.12</v>
          </cell>
        </row>
        <row r="857">
          <cell r="A857" t="str">
            <v>Kazakhstan</v>
          </cell>
          <cell r="E857">
            <v>426.65</v>
          </cell>
        </row>
        <row r="858">
          <cell r="A858" t="str">
            <v>Kazakhstan</v>
          </cell>
          <cell r="E858">
            <v>347.11</v>
          </cell>
        </row>
        <row r="859">
          <cell r="A859" t="str">
            <v>Kazakhstan</v>
          </cell>
          <cell r="E859">
            <v>55.57</v>
          </cell>
        </row>
        <row r="860">
          <cell r="A860" t="str">
            <v>Kazakhstan</v>
          </cell>
          <cell r="E860">
            <v>3010.59</v>
          </cell>
        </row>
        <row r="861">
          <cell r="A861" t="str">
            <v>Kazakhstan</v>
          </cell>
          <cell r="E861">
            <v>485.2</v>
          </cell>
        </row>
        <row r="862">
          <cell r="A862" t="str">
            <v>Kenya</v>
          </cell>
          <cell r="E862">
            <v>374.45</v>
          </cell>
        </row>
        <row r="863">
          <cell r="A863" t="str">
            <v>Kenya</v>
          </cell>
          <cell r="E863">
            <v>116.05</v>
          </cell>
        </row>
        <row r="864">
          <cell r="A864" t="str">
            <v>Kenya</v>
          </cell>
          <cell r="E864">
            <v>681.23</v>
          </cell>
        </row>
        <row r="865">
          <cell r="A865" t="str">
            <v>Kenya</v>
          </cell>
          <cell r="E865">
            <v>211.02</v>
          </cell>
        </row>
        <row r="866">
          <cell r="A866" t="str">
            <v>Kenya</v>
          </cell>
          <cell r="E866">
            <v>414.29</v>
          </cell>
        </row>
        <row r="867">
          <cell r="A867" t="str">
            <v>Kenya</v>
          </cell>
          <cell r="E867">
            <v>128.34</v>
          </cell>
        </row>
        <row r="868">
          <cell r="A868" t="str">
            <v>Kenya</v>
          </cell>
          <cell r="E868">
            <v>761.46</v>
          </cell>
        </row>
        <row r="869">
          <cell r="A869" t="str">
            <v>Kenya</v>
          </cell>
          <cell r="E869">
            <v>235.89</v>
          </cell>
        </row>
        <row r="870">
          <cell r="A870" t="str">
            <v>Kenya</v>
          </cell>
          <cell r="E870">
            <v>445.62</v>
          </cell>
        </row>
        <row r="871">
          <cell r="A871" t="str">
            <v>Kenya</v>
          </cell>
          <cell r="E871">
            <v>138.18</v>
          </cell>
        </row>
        <row r="872">
          <cell r="A872" t="str">
            <v>Kenya</v>
          </cell>
          <cell r="E872">
            <v>824.44</v>
          </cell>
        </row>
        <row r="873">
          <cell r="A873" t="str">
            <v>Kenya</v>
          </cell>
          <cell r="E873">
            <v>255.31</v>
          </cell>
        </row>
        <row r="874">
          <cell r="A874" t="str">
            <v>Kenya</v>
          </cell>
          <cell r="E874">
            <v>464.64</v>
          </cell>
        </row>
        <row r="875">
          <cell r="A875" t="str">
            <v>Kenya</v>
          </cell>
          <cell r="E875">
            <v>145.12</v>
          </cell>
        </row>
        <row r="876">
          <cell r="A876" t="str">
            <v>Kenya</v>
          </cell>
          <cell r="E876">
            <v>864.95</v>
          </cell>
        </row>
        <row r="877">
          <cell r="A877" t="str">
            <v>Kenya</v>
          </cell>
          <cell r="E877">
            <v>269.8</v>
          </cell>
        </row>
        <row r="878">
          <cell r="A878" t="str">
            <v>Kenya</v>
          </cell>
          <cell r="E878">
            <v>483.89</v>
          </cell>
        </row>
        <row r="879">
          <cell r="A879" t="str">
            <v>Kenya</v>
          </cell>
          <cell r="E879">
            <v>151.28</v>
          </cell>
        </row>
        <row r="880">
          <cell r="A880" t="str">
            <v>Kenya</v>
          </cell>
          <cell r="E880">
            <v>906.93</v>
          </cell>
        </row>
        <row r="881">
          <cell r="A881" t="str">
            <v>Kenya</v>
          </cell>
          <cell r="E881">
            <v>284.14</v>
          </cell>
        </row>
        <row r="882">
          <cell r="A882" t="str">
            <v>Kuwait</v>
          </cell>
          <cell r="E882">
            <v>0</v>
          </cell>
        </row>
        <row r="883">
          <cell r="A883" t="str">
            <v>Kuwait</v>
          </cell>
          <cell r="E883">
            <v>0</v>
          </cell>
        </row>
        <row r="884">
          <cell r="A884" t="str">
            <v>Kuwait</v>
          </cell>
          <cell r="E884">
            <v>3041.44</v>
          </cell>
        </row>
        <row r="885">
          <cell r="A885" t="str">
            <v>Kuwait</v>
          </cell>
          <cell r="E885">
            <v>643.88</v>
          </cell>
        </row>
        <row r="886">
          <cell r="A886" t="str">
            <v>Kuwait</v>
          </cell>
          <cell r="E886">
            <v>0</v>
          </cell>
        </row>
        <row r="887">
          <cell r="A887" t="str">
            <v>Kuwait</v>
          </cell>
          <cell r="E887">
            <v>0</v>
          </cell>
        </row>
        <row r="888">
          <cell r="A888" t="str">
            <v>Kuwait</v>
          </cell>
          <cell r="E888">
            <v>1845.24</v>
          </cell>
        </row>
        <row r="889">
          <cell r="A889" t="str">
            <v>Kuwait</v>
          </cell>
          <cell r="E889">
            <v>390.45</v>
          </cell>
        </row>
        <row r="890">
          <cell r="A890" t="str">
            <v>Kuwait</v>
          </cell>
          <cell r="E890">
            <v>0</v>
          </cell>
        </row>
        <row r="891">
          <cell r="A891" t="str">
            <v>Kuwait</v>
          </cell>
          <cell r="E891">
            <v>0</v>
          </cell>
        </row>
        <row r="892">
          <cell r="A892" t="str">
            <v>Kuwait</v>
          </cell>
          <cell r="E892">
            <v>1725.92</v>
          </cell>
        </row>
        <row r="893">
          <cell r="A893" t="str">
            <v>Kuwait</v>
          </cell>
          <cell r="E893">
            <v>365.2</v>
          </cell>
        </row>
        <row r="894">
          <cell r="A894" t="str">
            <v>Kuwait</v>
          </cell>
          <cell r="E894">
            <v>0</v>
          </cell>
        </row>
        <row r="895">
          <cell r="A895" t="str">
            <v>Kuwait</v>
          </cell>
          <cell r="E895">
            <v>0</v>
          </cell>
        </row>
        <row r="896">
          <cell r="A896" t="str">
            <v>Kuwait</v>
          </cell>
          <cell r="E896">
            <v>1585.57</v>
          </cell>
        </row>
        <row r="897">
          <cell r="A897" t="str">
            <v>Kuwait</v>
          </cell>
          <cell r="E897">
            <v>335.23</v>
          </cell>
        </row>
        <row r="898">
          <cell r="A898" t="str">
            <v>Kuwait</v>
          </cell>
          <cell r="E898">
            <v>0</v>
          </cell>
        </row>
        <row r="899">
          <cell r="A899" t="str">
            <v>Kuwait</v>
          </cell>
          <cell r="E899">
            <v>0</v>
          </cell>
        </row>
        <row r="900">
          <cell r="A900" t="str">
            <v>Kuwait</v>
          </cell>
          <cell r="E900">
            <v>1557.06</v>
          </cell>
        </row>
        <row r="901">
          <cell r="A901" t="str">
            <v>Kuwait</v>
          </cell>
          <cell r="E901">
            <v>328.91</v>
          </cell>
        </row>
        <row r="902">
          <cell r="A902" t="str">
            <v>Latvia</v>
          </cell>
          <cell r="E902">
            <v>53.69</v>
          </cell>
        </row>
        <row r="903">
          <cell r="A903" t="str">
            <v>Latvia</v>
          </cell>
          <cell r="E903">
            <v>23.26</v>
          </cell>
        </row>
        <row r="904">
          <cell r="A904" t="str">
            <v>Latvia</v>
          </cell>
          <cell r="E904">
            <v>521.63</v>
          </cell>
        </row>
        <row r="905">
          <cell r="A905" t="str">
            <v>Latvia</v>
          </cell>
          <cell r="E905">
            <v>226.96</v>
          </cell>
        </row>
        <row r="906">
          <cell r="A906" t="str">
            <v>Latvia</v>
          </cell>
          <cell r="E906">
            <v>48.89</v>
          </cell>
        </row>
        <row r="907">
          <cell r="A907" t="str">
            <v>Latvia</v>
          </cell>
          <cell r="E907">
            <v>21.17</v>
          </cell>
        </row>
        <row r="908">
          <cell r="A908" t="str">
            <v>Latvia</v>
          </cell>
          <cell r="E908">
            <v>467.2</v>
          </cell>
        </row>
        <row r="909">
          <cell r="A909" t="str">
            <v>Latvia</v>
          </cell>
          <cell r="E909">
            <v>203.23</v>
          </cell>
        </row>
        <row r="910">
          <cell r="A910" t="str">
            <v>Latvia</v>
          </cell>
          <cell r="E910">
            <v>51.51</v>
          </cell>
        </row>
        <row r="911">
          <cell r="A911" t="str">
            <v>Latvia</v>
          </cell>
          <cell r="E911">
            <v>22.26</v>
          </cell>
        </row>
        <row r="912">
          <cell r="A912" t="str">
            <v>Latvia</v>
          </cell>
          <cell r="E912">
            <v>443.81</v>
          </cell>
        </row>
        <row r="913">
          <cell r="A913" t="str">
            <v>Latvia</v>
          </cell>
          <cell r="E913">
            <v>192.71</v>
          </cell>
        </row>
        <row r="914">
          <cell r="A914" t="str">
            <v>Latvia</v>
          </cell>
          <cell r="E914">
            <v>45.57</v>
          </cell>
        </row>
        <row r="915">
          <cell r="A915" t="str">
            <v>Latvia</v>
          </cell>
          <cell r="E915">
            <v>19.66</v>
          </cell>
        </row>
        <row r="916">
          <cell r="A916" t="str">
            <v>Latvia</v>
          </cell>
          <cell r="E916">
            <v>394.52</v>
          </cell>
        </row>
        <row r="917">
          <cell r="A917" t="str">
            <v>Latvia</v>
          </cell>
          <cell r="E917">
            <v>171</v>
          </cell>
        </row>
        <row r="918">
          <cell r="A918" t="str">
            <v>Latvia</v>
          </cell>
          <cell r="E918">
            <v>53.04</v>
          </cell>
        </row>
        <row r="919">
          <cell r="A919" t="str">
            <v>Latvia</v>
          </cell>
          <cell r="E919">
            <v>23.04</v>
          </cell>
        </row>
        <row r="920">
          <cell r="A920" t="str">
            <v>Latvia</v>
          </cell>
          <cell r="E920">
            <v>391.89</v>
          </cell>
        </row>
        <row r="921">
          <cell r="A921" t="str">
            <v>Latvia</v>
          </cell>
          <cell r="E921">
            <v>171.08</v>
          </cell>
        </row>
        <row r="922">
          <cell r="A922" t="str">
            <v>Lithuania</v>
          </cell>
          <cell r="E922">
            <v>40.78</v>
          </cell>
        </row>
        <row r="923">
          <cell r="A923" t="str">
            <v>Lithuania</v>
          </cell>
          <cell r="E923">
            <v>74.53</v>
          </cell>
        </row>
        <row r="924">
          <cell r="A924" t="str">
            <v>Lithuania</v>
          </cell>
          <cell r="E924">
            <v>400.38</v>
          </cell>
        </row>
        <row r="925">
          <cell r="A925" t="str">
            <v>Lithuania</v>
          </cell>
          <cell r="E925">
            <v>516.12</v>
          </cell>
        </row>
        <row r="926">
          <cell r="A926" t="str">
            <v>Lithuania</v>
          </cell>
          <cell r="E926">
            <v>29.07</v>
          </cell>
        </row>
        <row r="927">
          <cell r="A927" t="str">
            <v>Lithuania</v>
          </cell>
          <cell r="E927">
            <v>53.14</v>
          </cell>
        </row>
        <row r="928">
          <cell r="A928" t="str">
            <v>Lithuania</v>
          </cell>
          <cell r="E928">
            <v>489.39</v>
          </cell>
        </row>
        <row r="929">
          <cell r="A929" t="str">
            <v>Lithuania</v>
          </cell>
          <cell r="E929">
            <v>630.38</v>
          </cell>
        </row>
        <row r="930">
          <cell r="A930" t="str">
            <v>Lithuania</v>
          </cell>
          <cell r="E930">
            <v>32.270000000000003</v>
          </cell>
        </row>
        <row r="931">
          <cell r="A931" t="str">
            <v>Lithuania</v>
          </cell>
          <cell r="E931">
            <v>59.06</v>
          </cell>
        </row>
        <row r="932">
          <cell r="A932" t="str">
            <v>Lithuania</v>
          </cell>
          <cell r="E932">
            <v>397.83</v>
          </cell>
        </row>
        <row r="933">
          <cell r="A933" t="str">
            <v>Lithuania</v>
          </cell>
          <cell r="E933">
            <v>511.8</v>
          </cell>
        </row>
        <row r="934">
          <cell r="A934" t="str">
            <v>Lithuania</v>
          </cell>
          <cell r="E934">
            <v>32.75</v>
          </cell>
        </row>
        <row r="935">
          <cell r="A935" t="str">
            <v>Lithuania</v>
          </cell>
          <cell r="E935">
            <v>59.78</v>
          </cell>
        </row>
        <row r="936">
          <cell r="A936" t="str">
            <v>Lithuania</v>
          </cell>
          <cell r="E936">
            <v>431.32</v>
          </cell>
        </row>
        <row r="937">
          <cell r="A937" t="str">
            <v>Lithuania</v>
          </cell>
          <cell r="E937">
            <v>554.1</v>
          </cell>
        </row>
        <row r="938">
          <cell r="A938" t="str">
            <v>Lithuania</v>
          </cell>
          <cell r="E938">
            <v>37.18</v>
          </cell>
        </row>
        <row r="939">
          <cell r="A939" t="str">
            <v>Lithuania</v>
          </cell>
          <cell r="E939">
            <v>67.849999999999994</v>
          </cell>
        </row>
        <row r="940">
          <cell r="A940" t="str">
            <v>Lithuania</v>
          </cell>
          <cell r="E940">
            <v>518.77</v>
          </cell>
        </row>
        <row r="941">
          <cell r="A941" t="str">
            <v>Lithuania</v>
          </cell>
          <cell r="E941">
            <v>666.25</v>
          </cell>
        </row>
        <row r="942">
          <cell r="A942" t="str">
            <v>Macau (SAR)</v>
          </cell>
          <cell r="E942">
            <v>232.99</v>
          </cell>
        </row>
        <row r="943">
          <cell r="A943" t="str">
            <v>Macau (SAR)</v>
          </cell>
          <cell r="E943">
            <v>27.47</v>
          </cell>
        </row>
        <row r="944">
          <cell r="A944" t="str">
            <v>Macau (SAR)</v>
          </cell>
          <cell r="E944">
            <v>188.46</v>
          </cell>
        </row>
        <row r="945">
          <cell r="A945" t="str">
            <v>Macau (SAR)</v>
          </cell>
          <cell r="E945">
            <v>25.52</v>
          </cell>
        </row>
        <row r="946">
          <cell r="A946" t="str">
            <v>Macau (SAR)</v>
          </cell>
          <cell r="E946">
            <v>216.96</v>
          </cell>
        </row>
        <row r="947">
          <cell r="A947" t="str">
            <v>Macau (SAR)</v>
          </cell>
          <cell r="E947">
            <v>25.57</v>
          </cell>
        </row>
        <row r="948">
          <cell r="A948" t="str">
            <v>Macau (SAR)</v>
          </cell>
          <cell r="E948">
            <v>175.41</v>
          </cell>
        </row>
        <row r="949">
          <cell r="A949" t="str">
            <v>Macau (SAR)</v>
          </cell>
          <cell r="E949">
            <v>23.74</v>
          </cell>
        </row>
        <row r="950">
          <cell r="A950" t="str">
            <v>Macau (SAR)</v>
          </cell>
          <cell r="E950">
            <v>222.11</v>
          </cell>
        </row>
        <row r="951">
          <cell r="A951" t="str">
            <v>Macau (SAR)</v>
          </cell>
          <cell r="E951">
            <v>26.11</v>
          </cell>
        </row>
        <row r="952">
          <cell r="A952" t="str">
            <v>Macau (SAR)</v>
          </cell>
          <cell r="E952">
            <v>179.71</v>
          </cell>
        </row>
        <row r="953">
          <cell r="A953" t="str">
            <v>Macau (SAR)</v>
          </cell>
          <cell r="E953">
            <v>24.29</v>
          </cell>
        </row>
        <row r="954">
          <cell r="A954" t="str">
            <v>Macau (SAR)</v>
          </cell>
          <cell r="E954">
            <v>216.52</v>
          </cell>
        </row>
        <row r="955">
          <cell r="A955" t="str">
            <v>Macau (SAR)</v>
          </cell>
          <cell r="E955">
            <v>25.63</v>
          </cell>
        </row>
        <row r="956">
          <cell r="A956" t="str">
            <v>Macau (SAR)</v>
          </cell>
          <cell r="E956">
            <v>178.07</v>
          </cell>
        </row>
        <row r="957">
          <cell r="A957" t="str">
            <v>Macau (SAR)</v>
          </cell>
          <cell r="E957">
            <v>24.23</v>
          </cell>
        </row>
        <row r="958">
          <cell r="A958" t="str">
            <v>Macau (SAR)</v>
          </cell>
          <cell r="E958">
            <v>278.05</v>
          </cell>
        </row>
        <row r="959">
          <cell r="A959" t="str">
            <v>Macau (SAR)</v>
          </cell>
          <cell r="E959">
            <v>33.15</v>
          </cell>
        </row>
        <row r="960">
          <cell r="A960" t="str">
            <v>Macau (SAR)</v>
          </cell>
          <cell r="E960">
            <v>226.5</v>
          </cell>
        </row>
        <row r="961">
          <cell r="A961" t="str">
            <v>Macau (SAR)</v>
          </cell>
          <cell r="E961">
            <v>31.03</v>
          </cell>
        </row>
        <row r="962">
          <cell r="A962" t="str">
            <v>Malaysia</v>
          </cell>
          <cell r="E962">
            <v>2239.54</v>
          </cell>
        </row>
        <row r="963">
          <cell r="A963" t="str">
            <v>Malaysia</v>
          </cell>
          <cell r="E963">
            <v>329.21</v>
          </cell>
        </row>
        <row r="964">
          <cell r="A964" t="str">
            <v>Malaysia</v>
          </cell>
          <cell r="E964">
            <v>1902.02</v>
          </cell>
        </row>
        <row r="965">
          <cell r="A965" t="str">
            <v>Malaysia</v>
          </cell>
          <cell r="E965">
            <v>615.19000000000005</v>
          </cell>
        </row>
        <row r="966">
          <cell r="A966" t="str">
            <v>Malaysia</v>
          </cell>
          <cell r="E966">
            <v>1812.45</v>
          </cell>
        </row>
        <row r="967">
          <cell r="A967" t="str">
            <v>Malaysia</v>
          </cell>
          <cell r="E967">
            <v>266.31</v>
          </cell>
        </row>
        <row r="968">
          <cell r="A968" t="str">
            <v>Malaysia</v>
          </cell>
          <cell r="E968">
            <v>1478.59</v>
          </cell>
        </row>
        <row r="969">
          <cell r="A969" t="str">
            <v>Malaysia</v>
          </cell>
          <cell r="E969">
            <v>478</v>
          </cell>
        </row>
        <row r="970">
          <cell r="A970" t="str">
            <v>Malaysia</v>
          </cell>
          <cell r="E970">
            <v>1672.01</v>
          </cell>
        </row>
        <row r="971">
          <cell r="A971" t="str">
            <v>Malaysia</v>
          </cell>
          <cell r="E971">
            <v>245.8</v>
          </cell>
        </row>
        <row r="972">
          <cell r="A972" t="str">
            <v>Malaysia</v>
          </cell>
          <cell r="E972">
            <v>1345.42</v>
          </cell>
        </row>
        <row r="973">
          <cell r="A973" t="str">
            <v>Malaysia</v>
          </cell>
          <cell r="E973">
            <v>437.76</v>
          </cell>
        </row>
        <row r="974">
          <cell r="A974" t="str">
            <v>Malaysia</v>
          </cell>
          <cell r="E974">
            <v>1662.47</v>
          </cell>
        </row>
        <row r="975">
          <cell r="A975" t="str">
            <v>Malaysia</v>
          </cell>
          <cell r="E975">
            <v>244.25</v>
          </cell>
        </row>
        <row r="976">
          <cell r="A976" t="str">
            <v>Malaysia</v>
          </cell>
          <cell r="E976">
            <v>1348.42</v>
          </cell>
        </row>
        <row r="977">
          <cell r="A977" t="str">
            <v>Malaysia</v>
          </cell>
          <cell r="E977">
            <v>442.46</v>
          </cell>
        </row>
        <row r="978">
          <cell r="A978" t="str">
            <v>Malaysia</v>
          </cell>
          <cell r="E978">
            <v>1850.36</v>
          </cell>
        </row>
        <row r="979">
          <cell r="A979" t="str">
            <v>Malaysia</v>
          </cell>
          <cell r="E979">
            <v>273</v>
          </cell>
        </row>
        <row r="980">
          <cell r="A980" t="str">
            <v>Malaysia</v>
          </cell>
          <cell r="E980">
            <v>1479.41</v>
          </cell>
        </row>
        <row r="981">
          <cell r="A981" t="str">
            <v>Malaysia</v>
          </cell>
          <cell r="E981">
            <v>487.39</v>
          </cell>
        </row>
        <row r="982">
          <cell r="A982" t="str">
            <v>Mexico</v>
          </cell>
          <cell r="E982">
            <v>498.18</v>
          </cell>
        </row>
        <row r="983">
          <cell r="A983" t="str">
            <v>Mexico</v>
          </cell>
          <cell r="E983">
            <v>78.849999999999994</v>
          </cell>
        </row>
        <row r="984">
          <cell r="A984" t="str">
            <v>Mexico</v>
          </cell>
          <cell r="E984">
            <v>12694.66</v>
          </cell>
        </row>
        <row r="985">
          <cell r="A985" t="str">
            <v>Mexico</v>
          </cell>
          <cell r="E985">
            <v>1994.29</v>
          </cell>
        </row>
        <row r="986">
          <cell r="A986" t="str">
            <v>Mexico</v>
          </cell>
          <cell r="E986">
            <v>452.72</v>
          </cell>
        </row>
        <row r="987">
          <cell r="A987" t="str">
            <v>Mexico</v>
          </cell>
          <cell r="E987">
            <v>71.569999999999993</v>
          </cell>
        </row>
        <row r="988">
          <cell r="A988" t="str">
            <v>Mexico</v>
          </cell>
          <cell r="E988">
            <v>10555.43</v>
          </cell>
        </row>
        <row r="989">
          <cell r="A989" t="str">
            <v>Mexico</v>
          </cell>
          <cell r="E989">
            <v>1656.45</v>
          </cell>
        </row>
        <row r="990">
          <cell r="A990" t="str">
            <v>Mexico</v>
          </cell>
          <cell r="E990">
            <v>887.42</v>
          </cell>
        </row>
        <row r="991">
          <cell r="A991" t="str">
            <v>Mexico</v>
          </cell>
          <cell r="E991">
            <v>140.19999999999999</v>
          </cell>
        </row>
        <row r="992">
          <cell r="A992" t="str">
            <v>Mexico</v>
          </cell>
          <cell r="E992">
            <v>10864.97</v>
          </cell>
        </row>
        <row r="993">
          <cell r="A993" t="str">
            <v>Mexico</v>
          </cell>
          <cell r="E993">
            <v>1704.98</v>
          </cell>
        </row>
        <row r="994">
          <cell r="A994" t="str">
            <v>Mexico</v>
          </cell>
          <cell r="E994">
            <v>1200.9100000000001</v>
          </cell>
        </row>
        <row r="995">
          <cell r="A995" t="str">
            <v>Mexico</v>
          </cell>
          <cell r="E995">
            <v>189.79</v>
          </cell>
        </row>
        <row r="996">
          <cell r="A996" t="str">
            <v>Mexico</v>
          </cell>
          <cell r="E996">
            <v>10945.7</v>
          </cell>
        </row>
        <row r="997">
          <cell r="A997" t="str">
            <v>Mexico</v>
          </cell>
          <cell r="E997">
            <v>1722.33</v>
          </cell>
        </row>
        <row r="998">
          <cell r="A998" t="str">
            <v>Mexico</v>
          </cell>
          <cell r="E998">
            <v>2622.69</v>
          </cell>
        </row>
        <row r="999">
          <cell r="A999" t="str">
            <v>Mexico</v>
          </cell>
          <cell r="E999">
            <v>416.04</v>
          </cell>
        </row>
        <row r="1000">
          <cell r="A1000" t="str">
            <v>Mexico</v>
          </cell>
          <cell r="E1000">
            <v>16009.69</v>
          </cell>
        </row>
        <row r="1001">
          <cell r="A1001" t="str">
            <v>Mexico</v>
          </cell>
          <cell r="E1001">
            <v>2527.7199999999998</v>
          </cell>
        </row>
        <row r="1002">
          <cell r="A1002" t="str">
            <v>Mongolia</v>
          </cell>
          <cell r="E1002">
            <v>128.4</v>
          </cell>
        </row>
        <row r="1003">
          <cell r="A1003" t="str">
            <v>Mongolia</v>
          </cell>
          <cell r="E1003">
            <v>24.2</v>
          </cell>
        </row>
        <row r="1004">
          <cell r="A1004" t="str">
            <v>Mongolia</v>
          </cell>
          <cell r="E1004">
            <v>179.76</v>
          </cell>
        </row>
        <row r="1005">
          <cell r="A1005" t="str">
            <v>Mongolia</v>
          </cell>
          <cell r="E1005">
            <v>34.21</v>
          </cell>
        </row>
        <row r="1006">
          <cell r="A1006" t="str">
            <v>Mongolia</v>
          </cell>
          <cell r="E1006">
            <v>149.93</v>
          </cell>
        </row>
        <row r="1007">
          <cell r="A1007" t="str">
            <v>Mongolia</v>
          </cell>
          <cell r="E1007">
            <v>28.24</v>
          </cell>
        </row>
        <row r="1008">
          <cell r="A1008" t="str">
            <v>Mongolia</v>
          </cell>
          <cell r="E1008">
            <v>193.79</v>
          </cell>
        </row>
        <row r="1009">
          <cell r="A1009" t="str">
            <v>Mongolia</v>
          </cell>
          <cell r="E1009">
            <v>36.86</v>
          </cell>
        </row>
        <row r="1010">
          <cell r="A1010" t="str">
            <v>Mongolia</v>
          </cell>
          <cell r="E1010">
            <v>120.43</v>
          </cell>
        </row>
        <row r="1011">
          <cell r="A1011" t="str">
            <v>Mongolia</v>
          </cell>
          <cell r="E1011">
            <v>22.67</v>
          </cell>
        </row>
        <row r="1012">
          <cell r="A1012" t="str">
            <v>Mongolia</v>
          </cell>
          <cell r="E1012">
            <v>151.52000000000001</v>
          </cell>
        </row>
        <row r="1013">
          <cell r="A1013" t="str">
            <v>Mongolia</v>
          </cell>
          <cell r="E1013">
            <v>28.8</v>
          </cell>
        </row>
        <row r="1014">
          <cell r="A1014" t="str">
            <v>Mongolia</v>
          </cell>
          <cell r="E1014">
            <v>141.13</v>
          </cell>
        </row>
        <row r="1015">
          <cell r="A1015" t="str">
            <v>Mongolia</v>
          </cell>
          <cell r="E1015">
            <v>26.76</v>
          </cell>
        </row>
        <row r="1016">
          <cell r="A1016" t="str">
            <v>Mongolia</v>
          </cell>
          <cell r="E1016">
            <v>162.22999999999999</v>
          </cell>
        </row>
        <row r="1017">
          <cell r="A1017" t="str">
            <v>Mongolia</v>
          </cell>
          <cell r="E1017">
            <v>31.06</v>
          </cell>
        </row>
        <row r="1018">
          <cell r="A1018" t="str">
            <v>Mongolia</v>
          </cell>
          <cell r="E1018">
            <v>143.41999999999999</v>
          </cell>
        </row>
        <row r="1019">
          <cell r="A1019" t="str">
            <v>Mongolia</v>
          </cell>
          <cell r="E1019">
            <v>27.17</v>
          </cell>
        </row>
        <row r="1020">
          <cell r="A1020" t="str">
            <v>Mongolia</v>
          </cell>
          <cell r="E1020">
            <v>162.5</v>
          </cell>
        </row>
        <row r="1021">
          <cell r="A1021" t="str">
            <v>Mongolia</v>
          </cell>
          <cell r="E1021">
            <v>31.09</v>
          </cell>
        </row>
        <row r="1022">
          <cell r="A1022" t="str">
            <v>Morocco</v>
          </cell>
          <cell r="E1022">
            <v>249.37</v>
          </cell>
        </row>
        <row r="1023">
          <cell r="A1023" t="str">
            <v>Morocco</v>
          </cell>
          <cell r="E1023">
            <v>114.24</v>
          </cell>
        </row>
        <row r="1024">
          <cell r="A1024" t="str">
            <v>Morocco</v>
          </cell>
          <cell r="E1024">
            <v>687.22</v>
          </cell>
        </row>
        <row r="1025">
          <cell r="A1025" t="str">
            <v>Morocco</v>
          </cell>
          <cell r="E1025">
            <v>315.01</v>
          </cell>
        </row>
        <row r="1026">
          <cell r="A1026" t="str">
            <v>Morocco</v>
          </cell>
          <cell r="E1026">
            <v>242.63</v>
          </cell>
        </row>
        <row r="1027">
          <cell r="A1027" t="str">
            <v>Morocco</v>
          </cell>
          <cell r="E1027">
            <v>111.06</v>
          </cell>
        </row>
        <row r="1028">
          <cell r="A1028" t="str">
            <v>Morocco</v>
          </cell>
          <cell r="E1028">
            <v>666.37</v>
          </cell>
        </row>
        <row r="1029">
          <cell r="A1029" t="str">
            <v>Morocco</v>
          </cell>
          <cell r="E1029">
            <v>305.24</v>
          </cell>
        </row>
        <row r="1030">
          <cell r="A1030" t="str">
            <v>Morocco</v>
          </cell>
          <cell r="E1030">
            <v>254.35</v>
          </cell>
        </row>
        <row r="1031">
          <cell r="A1031" t="str">
            <v>Morocco</v>
          </cell>
          <cell r="E1031">
            <v>116.33</v>
          </cell>
        </row>
        <row r="1032">
          <cell r="A1032" t="str">
            <v>Morocco</v>
          </cell>
          <cell r="E1032">
            <v>695.26</v>
          </cell>
        </row>
        <row r="1033">
          <cell r="A1033" t="str">
            <v>Morocco</v>
          </cell>
          <cell r="E1033">
            <v>318.33</v>
          </cell>
        </row>
        <row r="1034">
          <cell r="A1034" t="str">
            <v>Morocco</v>
          </cell>
          <cell r="E1034">
            <v>244.45</v>
          </cell>
        </row>
        <row r="1035">
          <cell r="A1035" t="str">
            <v>Morocco</v>
          </cell>
          <cell r="E1035">
            <v>111.9</v>
          </cell>
        </row>
        <row r="1036">
          <cell r="A1036" t="str">
            <v>Morocco</v>
          </cell>
          <cell r="E1036">
            <v>669.25</v>
          </cell>
        </row>
        <row r="1037">
          <cell r="A1037" t="str">
            <v>Morocco</v>
          </cell>
          <cell r="E1037">
            <v>308.43</v>
          </cell>
        </row>
        <row r="1038">
          <cell r="A1038" t="str">
            <v>Morocco</v>
          </cell>
          <cell r="E1038">
            <v>243.72</v>
          </cell>
        </row>
        <row r="1039">
          <cell r="A1039" t="str">
            <v>Morocco</v>
          </cell>
          <cell r="E1039">
            <v>111.97</v>
          </cell>
        </row>
        <row r="1040">
          <cell r="A1040" t="str">
            <v>Morocco</v>
          </cell>
          <cell r="E1040">
            <v>679.34</v>
          </cell>
        </row>
        <row r="1041">
          <cell r="A1041" t="str">
            <v>Morocco</v>
          </cell>
          <cell r="E1041">
            <v>314.14</v>
          </cell>
        </row>
        <row r="1042">
          <cell r="A1042" t="str">
            <v>Mozambique</v>
          </cell>
          <cell r="E1042">
            <v>30.88</v>
          </cell>
        </row>
        <row r="1043">
          <cell r="A1043" t="str">
            <v>Mozambique</v>
          </cell>
          <cell r="E1043">
            <v>4.38</v>
          </cell>
        </row>
        <row r="1044">
          <cell r="A1044" t="str">
            <v>Mozambique</v>
          </cell>
          <cell r="E1044">
            <v>53.24</v>
          </cell>
        </row>
        <row r="1045">
          <cell r="A1045" t="str">
            <v>Mozambique</v>
          </cell>
          <cell r="E1045">
            <v>7.54</v>
          </cell>
        </row>
        <row r="1046">
          <cell r="A1046" t="str">
            <v>Mozambique</v>
          </cell>
          <cell r="E1046">
            <v>30.98</v>
          </cell>
        </row>
        <row r="1047">
          <cell r="A1047" t="str">
            <v>Mozambique</v>
          </cell>
          <cell r="E1047">
            <v>4.3899999999999997</v>
          </cell>
        </row>
        <row r="1048">
          <cell r="A1048" t="str">
            <v>Mozambique</v>
          </cell>
          <cell r="E1048">
            <v>53.1</v>
          </cell>
        </row>
        <row r="1049">
          <cell r="A1049" t="str">
            <v>Mozambique</v>
          </cell>
          <cell r="E1049">
            <v>7.52</v>
          </cell>
        </row>
        <row r="1050">
          <cell r="A1050" t="str">
            <v>Mozambique</v>
          </cell>
          <cell r="E1050">
            <v>31.71</v>
          </cell>
        </row>
        <row r="1051">
          <cell r="A1051" t="str">
            <v>Mozambique</v>
          </cell>
          <cell r="E1051">
            <v>4.49</v>
          </cell>
        </row>
        <row r="1052">
          <cell r="A1052" t="str">
            <v>Mozambique</v>
          </cell>
          <cell r="E1052">
            <v>54.17</v>
          </cell>
        </row>
        <row r="1053">
          <cell r="A1053" t="str">
            <v>Mozambique</v>
          </cell>
          <cell r="E1053">
            <v>7.67</v>
          </cell>
        </row>
        <row r="1054">
          <cell r="A1054" t="str">
            <v>Mozambique</v>
          </cell>
          <cell r="E1054">
            <v>31.64</v>
          </cell>
        </row>
        <row r="1055">
          <cell r="A1055" t="str">
            <v>Mozambique</v>
          </cell>
          <cell r="E1055">
            <v>4.51</v>
          </cell>
        </row>
        <row r="1056">
          <cell r="A1056" t="str">
            <v>Mozambique</v>
          </cell>
          <cell r="E1056">
            <v>54.07</v>
          </cell>
        </row>
        <row r="1057">
          <cell r="A1057" t="str">
            <v>Mozambique</v>
          </cell>
          <cell r="E1057">
            <v>7.7</v>
          </cell>
        </row>
        <row r="1058">
          <cell r="A1058" t="str">
            <v>Mozambique</v>
          </cell>
          <cell r="E1058">
            <v>30.56</v>
          </cell>
        </row>
        <row r="1059">
          <cell r="A1059" t="str">
            <v>Mozambique</v>
          </cell>
          <cell r="E1059">
            <v>4.3499999999999996</v>
          </cell>
        </row>
        <row r="1060">
          <cell r="A1060" t="str">
            <v>Mozambique</v>
          </cell>
          <cell r="E1060">
            <v>51.89</v>
          </cell>
        </row>
        <row r="1061">
          <cell r="A1061" t="str">
            <v>Mozambique</v>
          </cell>
          <cell r="E1061">
            <v>7.39</v>
          </cell>
        </row>
        <row r="1062">
          <cell r="A1062" t="str">
            <v>Myanmar</v>
          </cell>
          <cell r="E1062">
            <v>749.68</v>
          </cell>
        </row>
        <row r="1063">
          <cell r="A1063" t="str">
            <v>Myanmar</v>
          </cell>
          <cell r="E1063">
            <v>87.39</v>
          </cell>
        </row>
        <row r="1064">
          <cell r="A1064" t="str">
            <v>Myanmar</v>
          </cell>
          <cell r="E1064">
            <v>1066.28</v>
          </cell>
        </row>
        <row r="1065">
          <cell r="A1065" t="str">
            <v>Myanmar</v>
          </cell>
          <cell r="E1065">
            <v>122.22</v>
          </cell>
        </row>
        <row r="1066">
          <cell r="A1066" t="str">
            <v>Myanmar</v>
          </cell>
          <cell r="E1066">
            <v>716.7</v>
          </cell>
        </row>
        <row r="1067">
          <cell r="A1067" t="str">
            <v>Myanmar</v>
          </cell>
          <cell r="E1067">
            <v>83.5</v>
          </cell>
        </row>
        <row r="1068">
          <cell r="A1068" t="str">
            <v>Myanmar</v>
          </cell>
          <cell r="E1068">
            <v>1022.23</v>
          </cell>
        </row>
        <row r="1069">
          <cell r="A1069" t="str">
            <v>Myanmar</v>
          </cell>
          <cell r="E1069">
            <v>117.1</v>
          </cell>
        </row>
        <row r="1070">
          <cell r="A1070" t="str">
            <v>Myanmar</v>
          </cell>
          <cell r="E1070">
            <v>635.86</v>
          </cell>
        </row>
        <row r="1071">
          <cell r="A1071" t="str">
            <v>Myanmar</v>
          </cell>
          <cell r="E1071">
            <v>74.040000000000006</v>
          </cell>
        </row>
        <row r="1072">
          <cell r="A1072" t="str">
            <v>Myanmar</v>
          </cell>
          <cell r="E1072">
            <v>911.6</v>
          </cell>
        </row>
        <row r="1073">
          <cell r="A1073" t="str">
            <v>Myanmar</v>
          </cell>
          <cell r="E1073">
            <v>104.37</v>
          </cell>
        </row>
        <row r="1074">
          <cell r="A1074" t="str">
            <v>Myanmar</v>
          </cell>
          <cell r="E1074">
            <v>605.92999999999995</v>
          </cell>
        </row>
        <row r="1075">
          <cell r="A1075" t="str">
            <v>Myanmar</v>
          </cell>
          <cell r="E1075">
            <v>70.53</v>
          </cell>
        </row>
        <row r="1076">
          <cell r="A1076" t="str">
            <v>Myanmar</v>
          </cell>
          <cell r="E1076">
            <v>864.46</v>
          </cell>
        </row>
        <row r="1077">
          <cell r="A1077" t="str">
            <v>Myanmar</v>
          </cell>
          <cell r="E1077">
            <v>99.47</v>
          </cell>
        </row>
        <row r="1078">
          <cell r="A1078" t="str">
            <v>Myanmar</v>
          </cell>
          <cell r="E1078">
            <v>604.78</v>
          </cell>
        </row>
        <row r="1079">
          <cell r="A1079" t="str">
            <v>Myanmar</v>
          </cell>
          <cell r="E1079">
            <v>70.430000000000007</v>
          </cell>
        </row>
        <row r="1080">
          <cell r="A1080" t="str">
            <v>Myanmar</v>
          </cell>
          <cell r="E1080">
            <v>857.26</v>
          </cell>
        </row>
        <row r="1081">
          <cell r="A1081" t="str">
            <v>Myanmar</v>
          </cell>
          <cell r="E1081">
            <v>98.61</v>
          </cell>
        </row>
        <row r="1082">
          <cell r="A1082" t="str">
            <v>Netherlands</v>
          </cell>
          <cell r="E1082">
            <v>1522.37</v>
          </cell>
        </row>
        <row r="1083">
          <cell r="A1083" t="str">
            <v>Netherlands</v>
          </cell>
          <cell r="E1083">
            <v>542.48</v>
          </cell>
        </row>
        <row r="1084">
          <cell r="A1084" t="str">
            <v>Netherlands</v>
          </cell>
          <cell r="E1084">
            <v>6179.99</v>
          </cell>
        </row>
        <row r="1085">
          <cell r="A1085" t="str">
            <v>Netherlands</v>
          </cell>
          <cell r="E1085">
            <v>2198.38</v>
          </cell>
        </row>
        <row r="1086">
          <cell r="A1086" t="str">
            <v>Netherlands</v>
          </cell>
          <cell r="E1086">
            <v>1604.13</v>
          </cell>
        </row>
        <row r="1087">
          <cell r="A1087" t="str">
            <v>Netherlands</v>
          </cell>
          <cell r="E1087">
            <v>570.88</v>
          </cell>
        </row>
        <row r="1088">
          <cell r="A1088" t="str">
            <v>Netherlands</v>
          </cell>
          <cell r="E1088">
            <v>6548.8</v>
          </cell>
        </row>
        <row r="1089">
          <cell r="A1089" t="str">
            <v>Netherlands</v>
          </cell>
          <cell r="E1089">
            <v>2329.0300000000002</v>
          </cell>
        </row>
        <row r="1090">
          <cell r="A1090" t="str">
            <v>Netherlands</v>
          </cell>
          <cell r="E1090">
            <v>1692.09</v>
          </cell>
        </row>
        <row r="1091">
          <cell r="A1091" t="str">
            <v>Netherlands</v>
          </cell>
          <cell r="E1091">
            <v>601.61</v>
          </cell>
        </row>
        <row r="1092">
          <cell r="A1092" t="str">
            <v>Netherlands</v>
          </cell>
          <cell r="E1092">
            <v>6636.94</v>
          </cell>
        </row>
        <row r="1093">
          <cell r="A1093" t="str">
            <v>Netherlands</v>
          </cell>
          <cell r="E1093">
            <v>2357.02</v>
          </cell>
        </row>
        <row r="1094">
          <cell r="A1094" t="str">
            <v>Netherlands</v>
          </cell>
          <cell r="E1094">
            <v>1739.43</v>
          </cell>
        </row>
        <row r="1095">
          <cell r="A1095" t="str">
            <v>Netherlands</v>
          </cell>
          <cell r="E1095">
            <v>618.16</v>
          </cell>
        </row>
        <row r="1096">
          <cell r="A1096" t="str">
            <v>Netherlands</v>
          </cell>
          <cell r="E1096">
            <v>6789.59</v>
          </cell>
        </row>
        <row r="1097">
          <cell r="A1097" t="str">
            <v>Netherlands</v>
          </cell>
          <cell r="E1097">
            <v>2420.37</v>
          </cell>
        </row>
        <row r="1098">
          <cell r="A1098" t="str">
            <v>Netherlands</v>
          </cell>
          <cell r="E1098">
            <v>2021.62</v>
          </cell>
        </row>
        <row r="1099">
          <cell r="A1099" t="str">
            <v>Netherlands</v>
          </cell>
          <cell r="E1099">
            <v>717.89</v>
          </cell>
        </row>
        <row r="1100">
          <cell r="A1100" t="str">
            <v>Netherlands</v>
          </cell>
          <cell r="E1100">
            <v>7785.6</v>
          </cell>
        </row>
        <row r="1101">
          <cell r="A1101" t="str">
            <v>Netherlands</v>
          </cell>
          <cell r="E1101">
            <v>2770.1</v>
          </cell>
        </row>
        <row r="1102">
          <cell r="A1102" t="str">
            <v>New Zealand</v>
          </cell>
          <cell r="E1102">
            <v>1638.18</v>
          </cell>
        </row>
        <row r="1103">
          <cell r="A1103" t="str">
            <v>New Zealand</v>
          </cell>
          <cell r="E1103">
            <v>203.5</v>
          </cell>
        </row>
        <row r="1104">
          <cell r="A1104" t="str">
            <v>New Zealand</v>
          </cell>
          <cell r="E1104">
            <v>3076.75</v>
          </cell>
        </row>
        <row r="1105">
          <cell r="A1105" t="str">
            <v>New Zealand</v>
          </cell>
          <cell r="E1105">
            <v>382.19</v>
          </cell>
        </row>
        <row r="1106">
          <cell r="A1106" t="str">
            <v>New Zealand</v>
          </cell>
          <cell r="E1106">
            <v>1574.14</v>
          </cell>
        </row>
        <row r="1107">
          <cell r="A1107" t="str">
            <v>New Zealand</v>
          </cell>
          <cell r="E1107">
            <v>195.48</v>
          </cell>
        </row>
        <row r="1108">
          <cell r="A1108" t="str">
            <v>New Zealand</v>
          </cell>
          <cell r="E1108">
            <v>2956.64</v>
          </cell>
        </row>
        <row r="1109">
          <cell r="A1109" t="str">
            <v>New Zealand</v>
          </cell>
          <cell r="E1109">
            <v>367.14</v>
          </cell>
        </row>
        <row r="1110">
          <cell r="A1110" t="str">
            <v>New Zealand</v>
          </cell>
          <cell r="E1110">
            <v>1591.88</v>
          </cell>
        </row>
        <row r="1111">
          <cell r="A1111" t="str">
            <v>New Zealand</v>
          </cell>
          <cell r="E1111">
            <v>197.37</v>
          </cell>
        </row>
        <row r="1112">
          <cell r="A1112" t="str">
            <v>New Zealand</v>
          </cell>
          <cell r="E1112">
            <v>2990.5</v>
          </cell>
        </row>
        <row r="1113">
          <cell r="A1113" t="str">
            <v>New Zealand</v>
          </cell>
          <cell r="E1113">
            <v>370.75</v>
          </cell>
        </row>
        <row r="1114">
          <cell r="A1114" t="str">
            <v>New Zealand</v>
          </cell>
          <cell r="E1114">
            <v>1593.36</v>
          </cell>
        </row>
        <row r="1115">
          <cell r="A1115" t="str">
            <v>New Zealand</v>
          </cell>
          <cell r="E1115">
            <v>197.44</v>
          </cell>
        </row>
        <row r="1116">
          <cell r="A1116" t="str">
            <v>New Zealand</v>
          </cell>
          <cell r="E1116">
            <v>2942.73</v>
          </cell>
        </row>
        <row r="1117">
          <cell r="A1117" t="str">
            <v>New Zealand</v>
          </cell>
          <cell r="E1117">
            <v>364.71</v>
          </cell>
        </row>
        <row r="1118">
          <cell r="A1118" t="str">
            <v>New Zealand</v>
          </cell>
          <cell r="E1118">
            <v>1458.95</v>
          </cell>
        </row>
        <row r="1119">
          <cell r="A1119" t="str">
            <v>New Zealand</v>
          </cell>
          <cell r="E1119">
            <v>180.68</v>
          </cell>
        </row>
        <row r="1120">
          <cell r="A1120" t="str">
            <v>New Zealand</v>
          </cell>
          <cell r="E1120">
            <v>2719.74</v>
          </cell>
        </row>
        <row r="1121">
          <cell r="A1121" t="str">
            <v>New Zealand</v>
          </cell>
          <cell r="E1121">
            <v>336.68</v>
          </cell>
        </row>
        <row r="1122">
          <cell r="A1122" t="str">
            <v>Nigeria</v>
          </cell>
          <cell r="E1122">
            <v>3420.69</v>
          </cell>
        </row>
        <row r="1123">
          <cell r="A1123" t="str">
            <v>Nigeria</v>
          </cell>
          <cell r="E1123">
            <v>871.85</v>
          </cell>
        </row>
        <row r="1124">
          <cell r="A1124" t="str">
            <v>Nigeria</v>
          </cell>
          <cell r="E1124">
            <v>9914.65</v>
          </cell>
        </row>
        <row r="1125">
          <cell r="A1125" t="str">
            <v>Nigeria</v>
          </cell>
          <cell r="E1125">
            <v>2526.83</v>
          </cell>
        </row>
        <row r="1126">
          <cell r="A1126" t="str">
            <v>Nigeria</v>
          </cell>
          <cell r="E1126">
            <v>3227.91</v>
          </cell>
        </row>
        <row r="1127">
          <cell r="A1127" t="str">
            <v>Nigeria</v>
          </cell>
          <cell r="E1127">
            <v>822.23</v>
          </cell>
        </row>
        <row r="1128">
          <cell r="A1128" t="str">
            <v>Nigeria</v>
          </cell>
          <cell r="E1128">
            <v>9220.83</v>
          </cell>
        </row>
        <row r="1129">
          <cell r="A1129" t="str">
            <v>Nigeria</v>
          </cell>
          <cell r="E1129">
            <v>2348.6799999999998</v>
          </cell>
        </row>
        <row r="1130">
          <cell r="A1130" t="str">
            <v>Nigeria</v>
          </cell>
          <cell r="E1130">
            <v>3409.65</v>
          </cell>
        </row>
        <row r="1131">
          <cell r="A1131" t="str">
            <v>Nigeria</v>
          </cell>
          <cell r="E1131">
            <v>868.06</v>
          </cell>
        </row>
        <row r="1132">
          <cell r="A1132" t="str">
            <v>Nigeria</v>
          </cell>
          <cell r="E1132">
            <v>9688.67</v>
          </cell>
        </row>
        <row r="1133">
          <cell r="A1133" t="str">
            <v>Nigeria</v>
          </cell>
          <cell r="E1133">
            <v>2466.37</v>
          </cell>
        </row>
        <row r="1134">
          <cell r="A1134" t="str">
            <v>Nigeria</v>
          </cell>
          <cell r="E1134">
            <v>3536.87</v>
          </cell>
        </row>
        <row r="1135">
          <cell r="A1135" t="str">
            <v>Nigeria</v>
          </cell>
          <cell r="E1135">
            <v>906.97</v>
          </cell>
        </row>
        <row r="1136">
          <cell r="A1136" t="str">
            <v>Nigeria</v>
          </cell>
          <cell r="E1136">
            <v>10245.4</v>
          </cell>
        </row>
        <row r="1137">
          <cell r="A1137" t="str">
            <v>Nigeria</v>
          </cell>
          <cell r="E1137">
            <v>2626.9</v>
          </cell>
        </row>
        <row r="1138">
          <cell r="A1138" t="str">
            <v>Nigeria</v>
          </cell>
          <cell r="E1138">
            <v>3724.81</v>
          </cell>
        </row>
        <row r="1139">
          <cell r="A1139" t="str">
            <v>Nigeria</v>
          </cell>
          <cell r="E1139">
            <v>954.33</v>
          </cell>
        </row>
        <row r="1140">
          <cell r="A1140" t="str">
            <v>Nigeria</v>
          </cell>
          <cell r="E1140">
            <v>10777.27</v>
          </cell>
        </row>
        <row r="1141">
          <cell r="A1141" t="str">
            <v>Nigeria</v>
          </cell>
          <cell r="E1141">
            <v>2761.24</v>
          </cell>
        </row>
        <row r="1142">
          <cell r="A1142" t="str">
            <v>Norway</v>
          </cell>
          <cell r="E1142">
            <v>1422.12</v>
          </cell>
        </row>
        <row r="1143">
          <cell r="A1143" t="str">
            <v>Norway</v>
          </cell>
          <cell r="E1143">
            <v>467.21</v>
          </cell>
        </row>
        <row r="1144">
          <cell r="A1144" t="str">
            <v>Norway</v>
          </cell>
          <cell r="E1144">
            <v>6167.29</v>
          </cell>
        </row>
        <row r="1145">
          <cell r="A1145" t="str">
            <v>Norway</v>
          </cell>
          <cell r="E1145">
            <v>2002.72</v>
          </cell>
        </row>
        <row r="1146">
          <cell r="A1146" t="str">
            <v>Norway</v>
          </cell>
          <cell r="E1146">
            <v>1432.98</v>
          </cell>
        </row>
        <row r="1147">
          <cell r="A1147" t="str">
            <v>Norway</v>
          </cell>
          <cell r="E1147">
            <v>470.22</v>
          </cell>
        </row>
        <row r="1148">
          <cell r="A1148" t="str">
            <v>Norway</v>
          </cell>
          <cell r="E1148">
            <v>6125.85</v>
          </cell>
        </row>
        <row r="1149">
          <cell r="A1149" t="str">
            <v>Norway</v>
          </cell>
          <cell r="E1149">
            <v>1988.07</v>
          </cell>
        </row>
        <row r="1150">
          <cell r="A1150" t="str">
            <v>Norway</v>
          </cell>
          <cell r="E1150">
            <v>1497.28</v>
          </cell>
        </row>
        <row r="1151">
          <cell r="A1151" t="str">
            <v>Norway</v>
          </cell>
          <cell r="E1151">
            <v>490.67</v>
          </cell>
        </row>
        <row r="1152">
          <cell r="A1152" t="str">
            <v>Norway</v>
          </cell>
          <cell r="E1152">
            <v>6364.51</v>
          </cell>
        </row>
        <row r="1153">
          <cell r="A1153" t="str">
            <v>Norway</v>
          </cell>
          <cell r="E1153">
            <v>2065.5100000000002</v>
          </cell>
        </row>
        <row r="1154">
          <cell r="A1154" t="str">
            <v>Norway</v>
          </cell>
          <cell r="E1154">
            <v>1647.52</v>
          </cell>
        </row>
        <row r="1155">
          <cell r="A1155" t="str">
            <v>Norway</v>
          </cell>
          <cell r="E1155">
            <v>540.42999999999995</v>
          </cell>
        </row>
        <row r="1156">
          <cell r="A1156" t="str">
            <v>Norway</v>
          </cell>
          <cell r="E1156">
            <v>6821.64</v>
          </cell>
        </row>
        <row r="1157">
          <cell r="A1157" t="str">
            <v>Norway</v>
          </cell>
          <cell r="E1157">
            <v>2219.69</v>
          </cell>
        </row>
        <row r="1158">
          <cell r="A1158" t="str">
            <v>Norway</v>
          </cell>
          <cell r="E1158">
            <v>1654.42</v>
          </cell>
        </row>
        <row r="1159">
          <cell r="A1159" t="str">
            <v>Norway</v>
          </cell>
          <cell r="E1159">
            <v>544.1</v>
          </cell>
        </row>
        <row r="1160">
          <cell r="A1160" t="str">
            <v>Norway</v>
          </cell>
          <cell r="E1160">
            <v>6780.87</v>
          </cell>
        </row>
        <row r="1161">
          <cell r="A1161" t="str">
            <v>Norway</v>
          </cell>
          <cell r="E1161">
            <v>2211.5</v>
          </cell>
        </row>
        <row r="1162">
          <cell r="A1162" t="str">
            <v>Oman</v>
          </cell>
          <cell r="E1162">
            <v>0</v>
          </cell>
        </row>
        <row r="1163">
          <cell r="A1163" t="str">
            <v>Oman</v>
          </cell>
          <cell r="E1163">
            <v>0</v>
          </cell>
        </row>
        <row r="1164">
          <cell r="A1164" t="str">
            <v>Oman</v>
          </cell>
          <cell r="E1164">
            <v>1319.47</v>
          </cell>
        </row>
        <row r="1165">
          <cell r="A1165" t="str">
            <v>Oman</v>
          </cell>
          <cell r="E1165">
            <v>92.1</v>
          </cell>
        </row>
        <row r="1166">
          <cell r="A1166" t="str">
            <v>Oman</v>
          </cell>
          <cell r="E1166">
            <v>0</v>
          </cell>
        </row>
        <row r="1167">
          <cell r="A1167" t="str">
            <v>Oman</v>
          </cell>
          <cell r="E1167">
            <v>0</v>
          </cell>
        </row>
        <row r="1168">
          <cell r="A1168" t="str">
            <v>Oman</v>
          </cell>
          <cell r="E1168">
            <v>1378.57</v>
          </cell>
        </row>
        <row r="1169">
          <cell r="A1169" t="str">
            <v>Oman</v>
          </cell>
          <cell r="E1169">
            <v>96.21</v>
          </cell>
        </row>
        <row r="1170">
          <cell r="A1170" t="str">
            <v>Oman</v>
          </cell>
          <cell r="E1170">
            <v>0</v>
          </cell>
        </row>
        <row r="1171">
          <cell r="A1171" t="str">
            <v>Oman</v>
          </cell>
          <cell r="E1171">
            <v>0</v>
          </cell>
        </row>
        <row r="1172">
          <cell r="A1172" t="str">
            <v>Oman</v>
          </cell>
          <cell r="E1172">
            <v>1109.8900000000001</v>
          </cell>
        </row>
        <row r="1173">
          <cell r="A1173" t="str">
            <v>Oman</v>
          </cell>
          <cell r="E1173">
            <v>77.45</v>
          </cell>
        </row>
        <row r="1174">
          <cell r="A1174" t="str">
            <v>Oman</v>
          </cell>
          <cell r="E1174">
            <v>0</v>
          </cell>
        </row>
        <row r="1175">
          <cell r="A1175" t="str">
            <v>Oman</v>
          </cell>
          <cell r="E1175">
            <v>0</v>
          </cell>
        </row>
        <row r="1176">
          <cell r="A1176" t="str">
            <v>Oman</v>
          </cell>
          <cell r="E1176">
            <v>1130.81</v>
          </cell>
        </row>
        <row r="1177">
          <cell r="A1177" t="str">
            <v>Oman</v>
          </cell>
          <cell r="E1177">
            <v>78.91</v>
          </cell>
        </row>
        <row r="1178">
          <cell r="A1178" t="str">
            <v>Oman</v>
          </cell>
          <cell r="E1178">
            <v>0</v>
          </cell>
        </row>
        <row r="1179">
          <cell r="A1179" t="str">
            <v>Oman</v>
          </cell>
          <cell r="E1179">
            <v>0</v>
          </cell>
        </row>
        <row r="1180">
          <cell r="A1180" t="str">
            <v>Oman</v>
          </cell>
          <cell r="E1180">
            <v>1143.77</v>
          </cell>
        </row>
        <row r="1181">
          <cell r="A1181" t="str">
            <v>Oman</v>
          </cell>
          <cell r="E1181">
            <v>79.81</v>
          </cell>
        </row>
        <row r="1182">
          <cell r="A1182" t="str">
            <v>Pakistan</v>
          </cell>
          <cell r="E1182">
            <v>425.52</v>
          </cell>
        </row>
        <row r="1183">
          <cell r="A1183" t="str">
            <v>Pakistan</v>
          </cell>
          <cell r="E1183">
            <v>66.75</v>
          </cell>
        </row>
        <row r="1184">
          <cell r="A1184" t="str">
            <v>Pakistan</v>
          </cell>
          <cell r="E1184">
            <v>1127.3900000000001</v>
          </cell>
        </row>
        <row r="1185">
          <cell r="A1185" t="str">
            <v>Pakistan</v>
          </cell>
          <cell r="E1185">
            <v>176.56</v>
          </cell>
        </row>
        <row r="1186">
          <cell r="A1186" t="str">
            <v>Pakistan</v>
          </cell>
          <cell r="E1186">
            <v>424.86</v>
          </cell>
        </row>
        <row r="1187">
          <cell r="A1187" t="str">
            <v>Pakistan</v>
          </cell>
          <cell r="E1187">
            <v>66.53</v>
          </cell>
        </row>
        <row r="1188">
          <cell r="A1188" t="str">
            <v>Pakistan</v>
          </cell>
          <cell r="E1188">
            <v>1132.27</v>
          </cell>
        </row>
        <row r="1189">
          <cell r="A1189" t="str">
            <v>Pakistan</v>
          </cell>
          <cell r="E1189">
            <v>177.01</v>
          </cell>
        </row>
        <row r="1190">
          <cell r="A1190" t="str">
            <v>Pakistan</v>
          </cell>
          <cell r="E1190">
            <v>456.87</v>
          </cell>
        </row>
        <row r="1191">
          <cell r="A1191" t="str">
            <v>Pakistan</v>
          </cell>
          <cell r="E1191">
            <v>71.58</v>
          </cell>
        </row>
        <row r="1192">
          <cell r="A1192" t="str">
            <v>Pakistan</v>
          </cell>
          <cell r="E1192">
            <v>1134.1099999999999</v>
          </cell>
        </row>
        <row r="1193">
          <cell r="A1193" t="str">
            <v>Pakistan</v>
          </cell>
          <cell r="E1193">
            <v>177.16</v>
          </cell>
        </row>
        <row r="1194">
          <cell r="A1194" t="str">
            <v>Pakistan</v>
          </cell>
          <cell r="E1194">
            <v>451.53</v>
          </cell>
        </row>
        <row r="1195">
          <cell r="A1195" t="str">
            <v>Pakistan</v>
          </cell>
          <cell r="E1195">
            <v>71.22</v>
          </cell>
        </row>
        <row r="1196">
          <cell r="A1196" t="str">
            <v>Pakistan</v>
          </cell>
          <cell r="E1196">
            <v>1070.67</v>
          </cell>
        </row>
        <row r="1197">
          <cell r="A1197" t="str">
            <v>Pakistan</v>
          </cell>
          <cell r="E1197">
            <v>168.39</v>
          </cell>
        </row>
        <row r="1198">
          <cell r="A1198" t="str">
            <v>Pakistan</v>
          </cell>
          <cell r="E1198">
            <v>438.67</v>
          </cell>
        </row>
        <row r="1199">
          <cell r="A1199" t="str">
            <v>Pakistan</v>
          </cell>
          <cell r="E1199">
            <v>69.16</v>
          </cell>
        </row>
        <row r="1200">
          <cell r="A1200" t="str">
            <v>Pakistan</v>
          </cell>
          <cell r="E1200">
            <v>995.31</v>
          </cell>
        </row>
        <row r="1201">
          <cell r="A1201" t="str">
            <v>Pakistan</v>
          </cell>
          <cell r="E1201">
            <v>156.44999999999999</v>
          </cell>
        </row>
        <row r="1202">
          <cell r="A1202" t="str">
            <v>Panama</v>
          </cell>
          <cell r="E1202">
            <v>229.77</v>
          </cell>
        </row>
        <row r="1203">
          <cell r="A1203" t="str">
            <v>Panama</v>
          </cell>
          <cell r="E1203">
            <v>36.200000000000003</v>
          </cell>
        </row>
        <row r="1204">
          <cell r="A1204" t="str">
            <v>Panama</v>
          </cell>
          <cell r="E1204">
            <v>1870.96</v>
          </cell>
        </row>
        <row r="1205">
          <cell r="A1205" t="str">
            <v>Panama</v>
          </cell>
          <cell r="E1205">
            <v>294.48</v>
          </cell>
        </row>
        <row r="1206">
          <cell r="A1206" t="str">
            <v>Panama</v>
          </cell>
          <cell r="E1206">
            <v>123.99</v>
          </cell>
        </row>
        <row r="1207">
          <cell r="A1207" t="str">
            <v>Panama</v>
          </cell>
          <cell r="E1207">
            <v>19.5</v>
          </cell>
        </row>
        <row r="1208">
          <cell r="A1208" t="str">
            <v>Panama</v>
          </cell>
          <cell r="E1208">
            <v>949.22</v>
          </cell>
        </row>
        <row r="1209">
          <cell r="A1209" t="str">
            <v>Panama</v>
          </cell>
          <cell r="E1209">
            <v>149.19</v>
          </cell>
        </row>
        <row r="1210">
          <cell r="A1210" t="str">
            <v>Panama</v>
          </cell>
          <cell r="E1210">
            <v>164.02</v>
          </cell>
        </row>
        <row r="1211">
          <cell r="A1211" t="str">
            <v>Panama</v>
          </cell>
          <cell r="E1211">
            <v>25.82</v>
          </cell>
        </row>
        <row r="1212">
          <cell r="A1212" t="str">
            <v>Panama</v>
          </cell>
          <cell r="E1212">
            <v>1259.28</v>
          </cell>
        </row>
        <row r="1213">
          <cell r="A1213" t="str">
            <v>Panama</v>
          </cell>
          <cell r="E1213">
            <v>197.76</v>
          </cell>
        </row>
        <row r="1214">
          <cell r="A1214" t="str">
            <v>Panama</v>
          </cell>
          <cell r="E1214">
            <v>191.8</v>
          </cell>
        </row>
        <row r="1215">
          <cell r="A1215" t="str">
            <v>Panama</v>
          </cell>
          <cell r="E1215">
            <v>30.37</v>
          </cell>
        </row>
        <row r="1216">
          <cell r="A1216" t="str">
            <v>Panama</v>
          </cell>
          <cell r="E1216">
            <v>1495.26</v>
          </cell>
        </row>
        <row r="1217">
          <cell r="A1217" t="str">
            <v>Panama</v>
          </cell>
          <cell r="E1217">
            <v>236.31</v>
          </cell>
        </row>
        <row r="1218">
          <cell r="A1218" t="str">
            <v>Panama</v>
          </cell>
          <cell r="E1218">
            <v>227.66</v>
          </cell>
        </row>
        <row r="1219">
          <cell r="A1219" t="str">
            <v>Panama</v>
          </cell>
          <cell r="E1219">
            <v>36.03</v>
          </cell>
        </row>
        <row r="1220">
          <cell r="A1220" t="str">
            <v>Panama</v>
          </cell>
          <cell r="E1220">
            <v>1825.77</v>
          </cell>
        </row>
        <row r="1221">
          <cell r="A1221" t="str">
            <v>Panama</v>
          </cell>
          <cell r="E1221">
            <v>288.26</v>
          </cell>
        </row>
        <row r="1222">
          <cell r="A1222" t="str">
            <v>Peru</v>
          </cell>
          <cell r="E1222">
            <v>1066.6099999999999</v>
          </cell>
        </row>
        <row r="1223">
          <cell r="A1223" t="str">
            <v>Peru</v>
          </cell>
          <cell r="E1223">
            <v>370.46</v>
          </cell>
        </row>
        <row r="1224">
          <cell r="A1224" t="str">
            <v>Peru</v>
          </cell>
          <cell r="E1224">
            <v>2576.37</v>
          </cell>
        </row>
        <row r="1225">
          <cell r="A1225" t="str">
            <v>Peru</v>
          </cell>
          <cell r="E1225">
            <v>895.82</v>
          </cell>
        </row>
        <row r="1226">
          <cell r="A1226" t="str">
            <v>Peru</v>
          </cell>
          <cell r="E1226">
            <v>939.74</v>
          </cell>
        </row>
        <row r="1227">
          <cell r="A1227" t="str">
            <v>Peru</v>
          </cell>
          <cell r="E1227">
            <v>326.44</v>
          </cell>
        </row>
        <row r="1228">
          <cell r="A1228" t="str">
            <v>Peru</v>
          </cell>
          <cell r="E1228">
            <v>2258</v>
          </cell>
        </row>
        <row r="1229">
          <cell r="A1229" t="str">
            <v>Peru</v>
          </cell>
          <cell r="E1229">
            <v>785.18</v>
          </cell>
        </row>
        <row r="1230">
          <cell r="A1230" t="str">
            <v>Peru</v>
          </cell>
          <cell r="E1230">
            <v>1279.1600000000001</v>
          </cell>
        </row>
        <row r="1231">
          <cell r="A1231" t="str">
            <v>Peru</v>
          </cell>
          <cell r="E1231">
            <v>444.37</v>
          </cell>
        </row>
        <row r="1232">
          <cell r="A1232" t="str">
            <v>Peru</v>
          </cell>
          <cell r="E1232">
            <v>3091.85</v>
          </cell>
        </row>
        <row r="1233">
          <cell r="A1233" t="str">
            <v>Peru</v>
          </cell>
          <cell r="E1233">
            <v>1075.04</v>
          </cell>
        </row>
        <row r="1234">
          <cell r="A1234" t="str">
            <v>Peru</v>
          </cell>
          <cell r="E1234">
            <v>1286.3499999999999</v>
          </cell>
        </row>
        <row r="1235">
          <cell r="A1235" t="str">
            <v>Peru</v>
          </cell>
          <cell r="E1235">
            <v>446.87</v>
          </cell>
        </row>
        <row r="1236">
          <cell r="A1236" t="str">
            <v>Peru</v>
          </cell>
          <cell r="E1236">
            <v>3127.96</v>
          </cell>
        </row>
        <row r="1237">
          <cell r="A1237" t="str">
            <v>Peru</v>
          </cell>
          <cell r="E1237">
            <v>1087.54</v>
          </cell>
        </row>
        <row r="1238">
          <cell r="A1238" t="str">
            <v>Peru</v>
          </cell>
          <cell r="E1238">
            <v>1211.06</v>
          </cell>
        </row>
        <row r="1239">
          <cell r="A1239" t="str">
            <v>Peru</v>
          </cell>
          <cell r="E1239">
            <v>420.71</v>
          </cell>
        </row>
        <row r="1240">
          <cell r="A1240" t="str">
            <v>Peru</v>
          </cell>
          <cell r="E1240">
            <v>2898.63</v>
          </cell>
        </row>
        <row r="1241">
          <cell r="A1241" t="str">
            <v>Peru</v>
          </cell>
          <cell r="E1241">
            <v>1007.8</v>
          </cell>
        </row>
        <row r="1242">
          <cell r="A1242" t="str">
            <v>Philippines</v>
          </cell>
          <cell r="E1242">
            <v>1087.52</v>
          </cell>
        </row>
        <row r="1243">
          <cell r="A1243" t="str">
            <v>Philippines</v>
          </cell>
          <cell r="E1243">
            <v>64.11</v>
          </cell>
        </row>
        <row r="1244">
          <cell r="A1244" t="str">
            <v>Philippines</v>
          </cell>
          <cell r="E1244">
            <v>2808.34</v>
          </cell>
        </row>
        <row r="1245">
          <cell r="A1245" t="str">
            <v>Philippines</v>
          </cell>
          <cell r="E1245">
            <v>176.86</v>
          </cell>
        </row>
        <row r="1246">
          <cell r="A1246" t="str">
            <v>Philippines</v>
          </cell>
          <cell r="E1246">
            <v>1568.83</v>
          </cell>
        </row>
        <row r="1247">
          <cell r="A1247" t="str">
            <v>Philippines</v>
          </cell>
          <cell r="E1247">
            <v>92.35</v>
          </cell>
        </row>
        <row r="1248">
          <cell r="A1248" t="str">
            <v>Philippines</v>
          </cell>
          <cell r="E1248">
            <v>4061.6</v>
          </cell>
        </row>
        <row r="1249">
          <cell r="A1249" t="str">
            <v>Philippines</v>
          </cell>
          <cell r="E1249">
            <v>255.48</v>
          </cell>
        </row>
        <row r="1250">
          <cell r="A1250" t="str">
            <v>Philippines</v>
          </cell>
          <cell r="E1250">
            <v>1458.03</v>
          </cell>
        </row>
        <row r="1251">
          <cell r="A1251" t="str">
            <v>Philippines</v>
          </cell>
          <cell r="E1251">
            <v>85.7</v>
          </cell>
        </row>
        <row r="1252">
          <cell r="A1252" t="str">
            <v>Philippines</v>
          </cell>
          <cell r="E1252">
            <v>3722.63</v>
          </cell>
        </row>
        <row r="1253">
          <cell r="A1253" t="str">
            <v>Philippines</v>
          </cell>
          <cell r="E1253">
            <v>233.91</v>
          </cell>
        </row>
        <row r="1254">
          <cell r="A1254" t="str">
            <v>Philippines</v>
          </cell>
          <cell r="E1254">
            <v>1384.48</v>
          </cell>
        </row>
        <row r="1255">
          <cell r="A1255" t="str">
            <v>Philippines</v>
          </cell>
          <cell r="E1255">
            <v>81.34</v>
          </cell>
        </row>
        <row r="1256">
          <cell r="A1256" t="str">
            <v>Philippines</v>
          </cell>
          <cell r="E1256">
            <v>3318.83</v>
          </cell>
        </row>
        <row r="1257">
          <cell r="A1257" t="str">
            <v>Philippines</v>
          </cell>
          <cell r="E1257">
            <v>209.13</v>
          </cell>
        </row>
        <row r="1258">
          <cell r="A1258" t="str">
            <v>Philippines</v>
          </cell>
          <cell r="E1258">
            <v>1528.54</v>
          </cell>
        </row>
        <row r="1259">
          <cell r="A1259" t="str">
            <v>Philippines</v>
          </cell>
          <cell r="E1259">
            <v>90.17</v>
          </cell>
        </row>
        <row r="1260">
          <cell r="A1260" t="str">
            <v>Philippines</v>
          </cell>
          <cell r="E1260">
            <v>3612.29</v>
          </cell>
        </row>
        <row r="1261">
          <cell r="A1261" t="str">
            <v>Philippines</v>
          </cell>
          <cell r="E1261">
            <v>228.51</v>
          </cell>
        </row>
        <row r="1262">
          <cell r="A1262" t="str">
            <v>Poland</v>
          </cell>
          <cell r="E1262">
            <v>6988.72</v>
          </cell>
        </row>
        <row r="1263">
          <cell r="A1263" t="str">
            <v>Poland</v>
          </cell>
          <cell r="E1263">
            <v>691.25</v>
          </cell>
        </row>
        <row r="1264">
          <cell r="A1264" t="str">
            <v>Poland</v>
          </cell>
          <cell r="E1264">
            <v>20283.36</v>
          </cell>
        </row>
        <row r="1265">
          <cell r="A1265" t="str">
            <v>Poland</v>
          </cell>
          <cell r="E1265">
            <v>1756.22</v>
          </cell>
        </row>
        <row r="1266">
          <cell r="A1266" t="str">
            <v>Poland</v>
          </cell>
          <cell r="E1266">
            <v>7211.54</v>
          </cell>
        </row>
        <row r="1267">
          <cell r="A1267" t="str">
            <v>Poland</v>
          </cell>
          <cell r="E1267">
            <v>712.27</v>
          </cell>
        </row>
        <row r="1268">
          <cell r="A1268" t="str">
            <v>Poland</v>
          </cell>
          <cell r="E1268">
            <v>19762.43</v>
          </cell>
        </row>
        <row r="1269">
          <cell r="A1269" t="str">
            <v>Poland</v>
          </cell>
          <cell r="E1269">
            <v>1707.53</v>
          </cell>
        </row>
        <row r="1270">
          <cell r="A1270" t="str">
            <v>Poland</v>
          </cell>
          <cell r="E1270">
            <v>7857.27</v>
          </cell>
        </row>
        <row r="1271">
          <cell r="A1271" t="str">
            <v>Poland</v>
          </cell>
          <cell r="E1271">
            <v>776.43</v>
          </cell>
        </row>
        <row r="1272">
          <cell r="A1272" t="str">
            <v>Poland</v>
          </cell>
          <cell r="E1272">
            <v>21648.13</v>
          </cell>
        </row>
        <row r="1273">
          <cell r="A1273" t="str">
            <v>Poland</v>
          </cell>
          <cell r="E1273">
            <v>1875.1</v>
          </cell>
        </row>
        <row r="1274">
          <cell r="A1274" t="str">
            <v>Poland</v>
          </cell>
          <cell r="E1274">
            <v>8258.83</v>
          </cell>
        </row>
        <row r="1275">
          <cell r="A1275" t="str">
            <v>Poland</v>
          </cell>
          <cell r="E1275">
            <v>814.84</v>
          </cell>
        </row>
        <row r="1276">
          <cell r="A1276" t="str">
            <v>Poland</v>
          </cell>
          <cell r="E1276">
            <v>22235.37</v>
          </cell>
        </row>
        <row r="1277">
          <cell r="A1277" t="str">
            <v>Poland</v>
          </cell>
          <cell r="E1277">
            <v>1925.1</v>
          </cell>
        </row>
        <row r="1278">
          <cell r="A1278" t="str">
            <v>Poland</v>
          </cell>
          <cell r="E1278">
            <v>9204.2199999999993</v>
          </cell>
        </row>
        <row r="1279">
          <cell r="A1279" t="str">
            <v>Poland</v>
          </cell>
          <cell r="E1279">
            <v>908.67</v>
          </cell>
        </row>
        <row r="1280">
          <cell r="A1280" t="str">
            <v>Poland</v>
          </cell>
          <cell r="E1280">
            <v>25239.62</v>
          </cell>
        </row>
        <row r="1281">
          <cell r="A1281" t="str">
            <v>Poland</v>
          </cell>
          <cell r="E1281">
            <v>2190.11</v>
          </cell>
        </row>
        <row r="1282">
          <cell r="A1282" t="str">
            <v>Portugal</v>
          </cell>
          <cell r="E1282">
            <v>672.64</v>
          </cell>
        </row>
        <row r="1283">
          <cell r="A1283" t="str">
            <v>Portugal</v>
          </cell>
          <cell r="E1283">
            <v>84.49</v>
          </cell>
        </row>
        <row r="1284">
          <cell r="A1284" t="str">
            <v>Portugal</v>
          </cell>
          <cell r="E1284">
            <v>2569.4699999999998</v>
          </cell>
        </row>
        <row r="1285">
          <cell r="A1285" t="str">
            <v>Portugal</v>
          </cell>
          <cell r="E1285">
            <v>321.69</v>
          </cell>
        </row>
        <row r="1286">
          <cell r="A1286" t="str">
            <v>Portugal</v>
          </cell>
          <cell r="E1286">
            <v>702.42</v>
          </cell>
        </row>
        <row r="1287">
          <cell r="A1287" t="str">
            <v>Portugal</v>
          </cell>
          <cell r="E1287">
            <v>88.23</v>
          </cell>
        </row>
        <row r="1288">
          <cell r="A1288" t="str">
            <v>Portugal</v>
          </cell>
          <cell r="E1288">
            <v>2648.65</v>
          </cell>
        </row>
        <row r="1289">
          <cell r="A1289" t="str">
            <v>Portugal</v>
          </cell>
          <cell r="E1289">
            <v>331.89</v>
          </cell>
        </row>
        <row r="1290">
          <cell r="A1290" t="str">
            <v>Portugal</v>
          </cell>
          <cell r="E1290">
            <v>761.28</v>
          </cell>
        </row>
        <row r="1291">
          <cell r="A1291" t="str">
            <v>Portugal</v>
          </cell>
          <cell r="E1291">
            <v>95.6</v>
          </cell>
        </row>
        <row r="1292">
          <cell r="A1292" t="str">
            <v>Portugal</v>
          </cell>
          <cell r="E1292">
            <v>2818.18</v>
          </cell>
        </row>
        <row r="1293">
          <cell r="A1293" t="str">
            <v>Portugal</v>
          </cell>
          <cell r="E1293">
            <v>353.51</v>
          </cell>
        </row>
        <row r="1294">
          <cell r="A1294" t="str">
            <v>Portugal</v>
          </cell>
          <cell r="E1294">
            <v>783.36</v>
          </cell>
        </row>
        <row r="1295">
          <cell r="A1295" t="str">
            <v>Portugal</v>
          </cell>
          <cell r="E1295">
            <v>98.28</v>
          </cell>
        </row>
        <row r="1296">
          <cell r="A1296" t="str">
            <v>Portugal</v>
          </cell>
          <cell r="E1296">
            <v>2878.69</v>
          </cell>
        </row>
        <row r="1297">
          <cell r="A1297" t="str">
            <v>Portugal</v>
          </cell>
          <cell r="E1297">
            <v>364.15</v>
          </cell>
        </row>
        <row r="1298">
          <cell r="A1298" t="str">
            <v>Portugal</v>
          </cell>
          <cell r="E1298">
            <v>824.77</v>
          </cell>
        </row>
        <row r="1299">
          <cell r="A1299" t="str">
            <v>Portugal</v>
          </cell>
          <cell r="E1299">
            <v>103.9</v>
          </cell>
        </row>
        <row r="1300">
          <cell r="A1300" t="str">
            <v>Portugal</v>
          </cell>
          <cell r="E1300">
            <v>2983.52</v>
          </cell>
        </row>
        <row r="1301">
          <cell r="A1301" t="str">
            <v>Portugal</v>
          </cell>
          <cell r="E1301">
            <v>378.99</v>
          </cell>
        </row>
        <row r="1302">
          <cell r="A1302" t="str">
            <v>Qatar</v>
          </cell>
          <cell r="E1302">
            <v>2215.7399999999998</v>
          </cell>
        </row>
        <row r="1303">
          <cell r="A1303" t="str">
            <v>Qatar</v>
          </cell>
          <cell r="E1303">
            <v>0</v>
          </cell>
        </row>
        <row r="1304">
          <cell r="A1304" t="str">
            <v>Qatar</v>
          </cell>
          <cell r="E1304">
            <v>4234.18</v>
          </cell>
        </row>
        <row r="1305">
          <cell r="A1305" t="str">
            <v>Qatar</v>
          </cell>
          <cell r="E1305">
            <v>833.07</v>
          </cell>
        </row>
        <row r="1306">
          <cell r="A1306" t="str">
            <v>Qatar</v>
          </cell>
          <cell r="E1306">
            <v>2226.2399999999998</v>
          </cell>
        </row>
        <row r="1307">
          <cell r="A1307" t="str">
            <v>Qatar</v>
          </cell>
          <cell r="E1307">
            <v>0</v>
          </cell>
        </row>
        <row r="1308">
          <cell r="A1308" t="str">
            <v>Qatar</v>
          </cell>
          <cell r="E1308">
            <v>4117.83</v>
          </cell>
        </row>
        <row r="1309">
          <cell r="A1309" t="str">
            <v>Qatar</v>
          </cell>
          <cell r="E1309">
            <v>810.18</v>
          </cell>
        </row>
        <row r="1310">
          <cell r="A1310" t="str">
            <v>Qatar</v>
          </cell>
          <cell r="E1310">
            <v>2027.71</v>
          </cell>
        </row>
        <row r="1311">
          <cell r="A1311" t="str">
            <v>Qatar</v>
          </cell>
          <cell r="E1311">
            <v>0</v>
          </cell>
        </row>
        <row r="1312">
          <cell r="A1312" t="str">
            <v>Qatar</v>
          </cell>
          <cell r="E1312">
            <v>4093.77</v>
          </cell>
        </row>
        <row r="1313">
          <cell r="A1313" t="str">
            <v>Qatar</v>
          </cell>
          <cell r="E1313">
            <v>805.05</v>
          </cell>
        </row>
        <row r="1314">
          <cell r="A1314" t="str">
            <v>Qatar</v>
          </cell>
          <cell r="E1314">
            <v>2040.13</v>
          </cell>
        </row>
        <row r="1315">
          <cell r="A1315" t="str">
            <v>Qatar</v>
          </cell>
          <cell r="E1315">
            <v>0</v>
          </cell>
        </row>
        <row r="1316">
          <cell r="A1316" t="str">
            <v>Qatar</v>
          </cell>
          <cell r="E1316">
            <v>4085.54</v>
          </cell>
        </row>
        <row r="1317">
          <cell r="A1317" t="str">
            <v>Qatar</v>
          </cell>
          <cell r="E1317">
            <v>809.57</v>
          </cell>
        </row>
        <row r="1318">
          <cell r="A1318" t="str">
            <v>Qatar</v>
          </cell>
          <cell r="E1318">
            <v>1792.17</v>
          </cell>
        </row>
        <row r="1319">
          <cell r="A1319" t="str">
            <v>Qatar</v>
          </cell>
          <cell r="E1319">
            <v>0</v>
          </cell>
        </row>
        <row r="1320">
          <cell r="A1320" t="str">
            <v>Qatar</v>
          </cell>
          <cell r="E1320">
            <v>3432.73</v>
          </cell>
        </row>
        <row r="1321">
          <cell r="A1321" t="str">
            <v>Qatar</v>
          </cell>
          <cell r="E1321">
            <v>679.86</v>
          </cell>
        </row>
        <row r="1322">
          <cell r="A1322" t="str">
            <v>Romania</v>
          </cell>
          <cell r="E1322">
            <v>327.10000000000002</v>
          </cell>
        </row>
        <row r="1323">
          <cell r="A1323" t="str">
            <v>Romania</v>
          </cell>
          <cell r="E1323">
            <v>27.46</v>
          </cell>
        </row>
        <row r="1324">
          <cell r="A1324" t="str">
            <v>Romania</v>
          </cell>
          <cell r="E1324">
            <v>5348.15</v>
          </cell>
        </row>
        <row r="1325">
          <cell r="A1325" t="str">
            <v>Romania</v>
          </cell>
          <cell r="E1325">
            <v>445.79</v>
          </cell>
        </row>
        <row r="1326">
          <cell r="A1326" t="str">
            <v>Romania</v>
          </cell>
          <cell r="E1326">
            <v>556.94000000000005</v>
          </cell>
        </row>
        <row r="1327">
          <cell r="A1327" t="str">
            <v>Romania</v>
          </cell>
          <cell r="E1327">
            <v>46.68</v>
          </cell>
        </row>
        <row r="1328">
          <cell r="A1328" t="str">
            <v>Romania</v>
          </cell>
          <cell r="E1328">
            <v>5789.09</v>
          </cell>
        </row>
        <row r="1329">
          <cell r="A1329" t="str">
            <v>Romania</v>
          </cell>
          <cell r="E1329">
            <v>481.78</v>
          </cell>
        </row>
        <row r="1330">
          <cell r="A1330" t="str">
            <v>Romania</v>
          </cell>
          <cell r="E1330">
            <v>406.12</v>
          </cell>
        </row>
        <row r="1331">
          <cell r="A1331" t="str">
            <v>Romania</v>
          </cell>
          <cell r="E1331">
            <v>33.979999999999997</v>
          </cell>
        </row>
        <row r="1332">
          <cell r="A1332" t="str">
            <v>Romania</v>
          </cell>
          <cell r="E1332">
            <v>5105.67</v>
          </cell>
        </row>
        <row r="1333">
          <cell r="A1333" t="str">
            <v>Romania</v>
          </cell>
          <cell r="E1333">
            <v>424.24</v>
          </cell>
        </row>
        <row r="1334">
          <cell r="A1334" t="str">
            <v>Romania</v>
          </cell>
          <cell r="E1334">
            <v>433.56</v>
          </cell>
        </row>
        <row r="1335">
          <cell r="A1335" t="str">
            <v>Romania</v>
          </cell>
          <cell r="E1335">
            <v>36.26</v>
          </cell>
        </row>
        <row r="1336">
          <cell r="A1336" t="str">
            <v>Romania</v>
          </cell>
          <cell r="E1336">
            <v>5449.14</v>
          </cell>
        </row>
        <row r="1337">
          <cell r="A1337" t="str">
            <v>Romania</v>
          </cell>
          <cell r="E1337">
            <v>454.33</v>
          </cell>
        </row>
        <row r="1338">
          <cell r="A1338" t="str">
            <v>Romania</v>
          </cell>
          <cell r="E1338">
            <v>515.46</v>
          </cell>
        </row>
        <row r="1339">
          <cell r="A1339" t="str">
            <v>Romania</v>
          </cell>
          <cell r="E1339">
            <v>43.1</v>
          </cell>
        </row>
        <row r="1340">
          <cell r="A1340" t="str">
            <v>Romania</v>
          </cell>
          <cell r="E1340">
            <v>6704.34</v>
          </cell>
        </row>
        <row r="1341">
          <cell r="A1341" t="str">
            <v>Romania</v>
          </cell>
          <cell r="E1341">
            <v>560.02</v>
          </cell>
        </row>
        <row r="1342">
          <cell r="A1342" t="str">
            <v>Russia</v>
          </cell>
          <cell r="E1342">
            <v>7800.67</v>
          </cell>
        </row>
        <row r="1343">
          <cell r="A1343" t="str">
            <v>Russia</v>
          </cell>
          <cell r="E1343">
            <v>1018.06</v>
          </cell>
        </row>
        <row r="1344">
          <cell r="A1344" t="str">
            <v>Russia</v>
          </cell>
          <cell r="E1344">
            <v>23064.94</v>
          </cell>
        </row>
        <row r="1345">
          <cell r="A1345" t="str">
            <v>Russia</v>
          </cell>
          <cell r="E1345">
            <v>3002.75</v>
          </cell>
        </row>
        <row r="1346">
          <cell r="A1346" t="str">
            <v>Russia</v>
          </cell>
          <cell r="E1346">
            <v>7979.5</v>
          </cell>
        </row>
        <row r="1347">
          <cell r="A1347" t="str">
            <v>Russia</v>
          </cell>
          <cell r="E1347">
            <v>1040.76</v>
          </cell>
        </row>
        <row r="1348">
          <cell r="A1348" t="str">
            <v>Russia</v>
          </cell>
          <cell r="E1348">
            <v>23162.01</v>
          </cell>
        </row>
        <row r="1349">
          <cell r="A1349" t="str">
            <v>Russia</v>
          </cell>
          <cell r="E1349">
            <v>3013.75</v>
          </cell>
        </row>
        <row r="1350">
          <cell r="A1350" t="str">
            <v>Russia</v>
          </cell>
          <cell r="E1350">
            <v>8155.78</v>
          </cell>
        </row>
        <row r="1351">
          <cell r="A1351" t="str">
            <v>Russia</v>
          </cell>
          <cell r="E1351">
            <v>1062.94</v>
          </cell>
        </row>
        <row r="1352">
          <cell r="A1352" t="str">
            <v>Russia</v>
          </cell>
          <cell r="E1352">
            <v>23326.91</v>
          </cell>
        </row>
        <row r="1353">
          <cell r="A1353" t="str">
            <v>Russia</v>
          </cell>
          <cell r="E1353">
            <v>3033.33</v>
          </cell>
        </row>
        <row r="1354">
          <cell r="A1354" t="str">
            <v>Russia</v>
          </cell>
          <cell r="E1354">
            <v>9477.85</v>
          </cell>
        </row>
        <row r="1355">
          <cell r="A1355" t="str">
            <v>Russia</v>
          </cell>
          <cell r="E1355">
            <v>1234.43</v>
          </cell>
        </row>
        <row r="1356">
          <cell r="A1356" t="str">
            <v>Russia</v>
          </cell>
          <cell r="E1356">
            <v>26214.639999999999</v>
          </cell>
        </row>
        <row r="1357">
          <cell r="A1357" t="str">
            <v>Russia</v>
          </cell>
          <cell r="E1357">
            <v>3406.8</v>
          </cell>
        </row>
        <row r="1358">
          <cell r="A1358" t="str">
            <v>Russia</v>
          </cell>
          <cell r="E1358">
            <v>10378.33</v>
          </cell>
        </row>
        <row r="1359">
          <cell r="A1359" t="str">
            <v>Russia</v>
          </cell>
          <cell r="E1359">
            <v>1355.03</v>
          </cell>
        </row>
        <row r="1360">
          <cell r="A1360" t="str">
            <v>Russia</v>
          </cell>
          <cell r="E1360">
            <v>28547.95</v>
          </cell>
        </row>
        <row r="1361">
          <cell r="A1361" t="str">
            <v>Russia</v>
          </cell>
          <cell r="E1361">
            <v>3719.13</v>
          </cell>
        </row>
        <row r="1362">
          <cell r="A1362" t="str">
            <v>Saudi Arabia</v>
          </cell>
          <cell r="E1362">
            <v>6322.27</v>
          </cell>
        </row>
        <row r="1363">
          <cell r="A1363" t="str">
            <v>Saudi Arabia</v>
          </cell>
          <cell r="E1363">
            <v>906.61</v>
          </cell>
        </row>
        <row r="1364">
          <cell r="A1364" t="str">
            <v>Saudi Arabia</v>
          </cell>
          <cell r="E1364">
            <v>1748.09</v>
          </cell>
        </row>
        <row r="1365">
          <cell r="A1365" t="str">
            <v>Saudi Arabia</v>
          </cell>
          <cell r="E1365">
            <v>250.5</v>
          </cell>
        </row>
        <row r="1366">
          <cell r="A1366" t="str">
            <v>Saudi Arabia</v>
          </cell>
          <cell r="E1366">
            <v>6679.43</v>
          </cell>
        </row>
        <row r="1367">
          <cell r="A1367" t="str">
            <v>Saudi Arabia</v>
          </cell>
          <cell r="E1367">
            <v>958.84</v>
          </cell>
        </row>
        <row r="1368">
          <cell r="A1368" t="str">
            <v>Saudi Arabia</v>
          </cell>
          <cell r="E1368">
            <v>1883.14</v>
          </cell>
        </row>
        <row r="1369">
          <cell r="A1369" t="str">
            <v>Saudi Arabia</v>
          </cell>
          <cell r="E1369">
            <v>269.77</v>
          </cell>
        </row>
        <row r="1370">
          <cell r="A1370" t="str">
            <v>Saudi Arabia</v>
          </cell>
          <cell r="E1370">
            <v>6718.32</v>
          </cell>
        </row>
        <row r="1371">
          <cell r="A1371" t="str">
            <v>Saudi Arabia</v>
          </cell>
          <cell r="E1371">
            <v>965.39</v>
          </cell>
        </row>
        <row r="1372">
          <cell r="A1372" t="str">
            <v>Saudi Arabia</v>
          </cell>
          <cell r="E1372">
            <v>1941.53</v>
          </cell>
        </row>
        <row r="1373">
          <cell r="A1373" t="str">
            <v>Saudi Arabia</v>
          </cell>
          <cell r="E1373">
            <v>277.95999999999998</v>
          </cell>
        </row>
        <row r="1374">
          <cell r="A1374" t="str">
            <v>Saudi Arabia</v>
          </cell>
          <cell r="E1374">
            <v>7341.07</v>
          </cell>
        </row>
        <row r="1375">
          <cell r="A1375" t="str">
            <v>Saudi Arabia</v>
          </cell>
          <cell r="E1375">
            <v>1062.47</v>
          </cell>
        </row>
        <row r="1376">
          <cell r="A1376" t="str">
            <v>Saudi Arabia</v>
          </cell>
          <cell r="E1376">
            <v>2230.94</v>
          </cell>
        </row>
        <row r="1377">
          <cell r="A1377" t="str">
            <v>Saudi Arabia</v>
          </cell>
          <cell r="E1377">
            <v>321.76</v>
          </cell>
        </row>
        <row r="1378">
          <cell r="A1378" t="str">
            <v>Saudi Arabia</v>
          </cell>
          <cell r="E1378">
            <v>7627.84</v>
          </cell>
        </row>
        <row r="1379">
          <cell r="A1379" t="str">
            <v>Saudi Arabia</v>
          </cell>
          <cell r="E1379">
            <v>1112.0999999999999</v>
          </cell>
        </row>
        <row r="1380">
          <cell r="A1380" t="str">
            <v>Saudi Arabia</v>
          </cell>
          <cell r="E1380">
            <v>2390.75</v>
          </cell>
        </row>
        <row r="1381">
          <cell r="A1381" t="str">
            <v>Saudi Arabia</v>
          </cell>
          <cell r="E1381">
            <v>347.22</v>
          </cell>
        </row>
        <row r="1382">
          <cell r="A1382" t="str">
            <v>Singapore</v>
          </cell>
          <cell r="E1382">
            <v>1219.0899999999999</v>
          </cell>
        </row>
        <row r="1383">
          <cell r="A1383" t="str">
            <v>Singapore</v>
          </cell>
          <cell r="E1383">
            <v>138.54</v>
          </cell>
        </row>
        <row r="1384">
          <cell r="A1384" t="str">
            <v>Singapore</v>
          </cell>
          <cell r="E1384">
            <v>1311.46</v>
          </cell>
        </row>
        <row r="1385">
          <cell r="A1385" t="str">
            <v>Singapore</v>
          </cell>
          <cell r="E1385">
            <v>148.94</v>
          </cell>
        </row>
        <row r="1386">
          <cell r="A1386" t="str">
            <v>Singapore</v>
          </cell>
          <cell r="E1386">
            <v>682.38</v>
          </cell>
        </row>
        <row r="1387">
          <cell r="A1387" t="str">
            <v>Singapore</v>
          </cell>
          <cell r="E1387">
            <v>77.5</v>
          </cell>
        </row>
        <row r="1388">
          <cell r="A1388" t="str">
            <v>Singapore</v>
          </cell>
          <cell r="E1388">
            <v>715.8</v>
          </cell>
        </row>
        <row r="1389">
          <cell r="A1389" t="str">
            <v>Singapore</v>
          </cell>
          <cell r="E1389">
            <v>81.25</v>
          </cell>
        </row>
        <row r="1390">
          <cell r="A1390" t="str">
            <v>Singapore</v>
          </cell>
          <cell r="E1390">
            <v>1044.47</v>
          </cell>
        </row>
        <row r="1391">
          <cell r="A1391" t="str">
            <v>Singapore</v>
          </cell>
          <cell r="E1391">
            <v>118.56</v>
          </cell>
        </row>
        <row r="1392">
          <cell r="A1392" t="str">
            <v>Singapore</v>
          </cell>
          <cell r="E1392">
            <v>1048.02</v>
          </cell>
        </row>
        <row r="1393">
          <cell r="A1393" t="str">
            <v>Singapore</v>
          </cell>
          <cell r="E1393">
            <v>118.89</v>
          </cell>
        </row>
        <row r="1394">
          <cell r="A1394" t="str">
            <v>Singapore</v>
          </cell>
          <cell r="E1394">
            <v>980.64</v>
          </cell>
        </row>
        <row r="1395">
          <cell r="A1395" t="str">
            <v>Singapore</v>
          </cell>
          <cell r="E1395">
            <v>111.38</v>
          </cell>
        </row>
        <row r="1396">
          <cell r="A1396" t="str">
            <v>Singapore</v>
          </cell>
          <cell r="E1396">
            <v>1019.83</v>
          </cell>
        </row>
        <row r="1397">
          <cell r="A1397" t="str">
            <v>Singapore</v>
          </cell>
          <cell r="E1397">
            <v>115.77</v>
          </cell>
        </row>
        <row r="1398">
          <cell r="A1398" t="str">
            <v>Singapore</v>
          </cell>
          <cell r="E1398">
            <v>1012.86</v>
          </cell>
        </row>
        <row r="1399">
          <cell r="A1399" t="str">
            <v>Singapore</v>
          </cell>
          <cell r="E1399">
            <v>115.6</v>
          </cell>
        </row>
        <row r="1400">
          <cell r="A1400" t="str">
            <v>Singapore</v>
          </cell>
          <cell r="E1400">
            <v>973.47</v>
          </cell>
        </row>
        <row r="1401">
          <cell r="A1401" t="str">
            <v>Singapore</v>
          </cell>
          <cell r="E1401">
            <v>110.67</v>
          </cell>
        </row>
        <row r="1402">
          <cell r="A1402" t="str">
            <v>Slovakia</v>
          </cell>
          <cell r="E1402">
            <v>398.9</v>
          </cell>
        </row>
        <row r="1403">
          <cell r="A1403" t="str">
            <v>Slovakia</v>
          </cell>
          <cell r="E1403">
            <v>21.51</v>
          </cell>
        </row>
        <row r="1404">
          <cell r="A1404" t="str">
            <v>Slovakia</v>
          </cell>
          <cell r="E1404">
            <v>3579.28</v>
          </cell>
        </row>
        <row r="1405">
          <cell r="A1405" t="str">
            <v>Slovakia</v>
          </cell>
          <cell r="E1405">
            <v>203.16</v>
          </cell>
        </row>
        <row r="1406">
          <cell r="A1406" t="str">
            <v>Slovakia</v>
          </cell>
          <cell r="E1406">
            <v>394.49</v>
          </cell>
        </row>
        <row r="1407">
          <cell r="A1407" t="str">
            <v>Slovakia</v>
          </cell>
          <cell r="E1407">
            <v>21.32</v>
          </cell>
        </row>
        <row r="1408">
          <cell r="A1408" t="str">
            <v>Slovakia</v>
          </cell>
          <cell r="E1408">
            <v>3447.48</v>
          </cell>
        </row>
        <row r="1409">
          <cell r="A1409" t="str">
            <v>Slovakia</v>
          </cell>
          <cell r="E1409">
            <v>196.22</v>
          </cell>
        </row>
        <row r="1410">
          <cell r="A1410" t="str">
            <v>Slovakia</v>
          </cell>
          <cell r="E1410">
            <v>374.08</v>
          </cell>
        </row>
        <row r="1411">
          <cell r="A1411" t="str">
            <v>Slovakia</v>
          </cell>
          <cell r="E1411">
            <v>20.28</v>
          </cell>
        </row>
        <row r="1412">
          <cell r="A1412" t="str">
            <v>Slovakia</v>
          </cell>
          <cell r="E1412">
            <v>3226.21</v>
          </cell>
        </row>
        <row r="1413">
          <cell r="A1413" t="str">
            <v>Slovakia</v>
          </cell>
          <cell r="E1413">
            <v>184.14</v>
          </cell>
        </row>
        <row r="1414">
          <cell r="A1414" t="str">
            <v>Slovakia</v>
          </cell>
          <cell r="E1414">
            <v>384</v>
          </cell>
        </row>
        <row r="1415">
          <cell r="A1415" t="str">
            <v>Slovakia</v>
          </cell>
          <cell r="E1415">
            <v>20.89</v>
          </cell>
        </row>
        <row r="1416">
          <cell r="A1416" t="str">
            <v>Slovakia</v>
          </cell>
          <cell r="E1416">
            <v>3303.35</v>
          </cell>
        </row>
        <row r="1417">
          <cell r="A1417" t="str">
            <v>Slovakia</v>
          </cell>
          <cell r="E1417">
            <v>189.14</v>
          </cell>
        </row>
        <row r="1418">
          <cell r="A1418" t="str">
            <v>Slovakia</v>
          </cell>
          <cell r="E1418">
            <v>445.31</v>
          </cell>
        </row>
        <row r="1419">
          <cell r="A1419" t="str">
            <v>Slovakia</v>
          </cell>
          <cell r="E1419">
            <v>24.21</v>
          </cell>
        </row>
        <row r="1420">
          <cell r="A1420" t="str">
            <v>Slovakia</v>
          </cell>
          <cell r="E1420">
            <v>3754.06</v>
          </cell>
        </row>
        <row r="1421">
          <cell r="A1421" t="str">
            <v>Slovakia</v>
          </cell>
          <cell r="E1421">
            <v>214.84</v>
          </cell>
        </row>
        <row r="1422">
          <cell r="A1422" t="str">
            <v>Slovenia</v>
          </cell>
          <cell r="E1422">
            <v>18.41</v>
          </cell>
        </row>
        <row r="1423">
          <cell r="A1423" t="str">
            <v>Slovenia</v>
          </cell>
          <cell r="E1423">
            <v>196.03</v>
          </cell>
        </row>
        <row r="1424">
          <cell r="A1424" t="str">
            <v>Slovenia</v>
          </cell>
          <cell r="E1424">
            <v>1608.52</v>
          </cell>
        </row>
        <row r="1425">
          <cell r="A1425" t="str">
            <v>Slovenia</v>
          </cell>
          <cell r="E1425">
            <v>218.95</v>
          </cell>
        </row>
        <row r="1426">
          <cell r="A1426" t="str">
            <v>Slovenia</v>
          </cell>
          <cell r="E1426">
            <v>18.11</v>
          </cell>
        </row>
        <row r="1427">
          <cell r="A1427" t="str">
            <v>Slovenia</v>
          </cell>
          <cell r="E1427">
            <v>192.87</v>
          </cell>
        </row>
        <row r="1428">
          <cell r="A1428" t="str">
            <v>Slovenia</v>
          </cell>
          <cell r="E1428">
            <v>1592.37</v>
          </cell>
        </row>
        <row r="1429">
          <cell r="A1429" t="str">
            <v>Slovenia</v>
          </cell>
          <cell r="E1429">
            <v>216.63</v>
          </cell>
        </row>
        <row r="1430">
          <cell r="A1430" t="str">
            <v>Slovenia</v>
          </cell>
          <cell r="E1430">
            <v>20.57</v>
          </cell>
        </row>
        <row r="1431">
          <cell r="A1431" t="str">
            <v>Slovenia</v>
          </cell>
          <cell r="E1431">
            <v>218.52</v>
          </cell>
        </row>
        <row r="1432">
          <cell r="A1432" t="str">
            <v>Slovenia</v>
          </cell>
          <cell r="E1432">
            <v>1802.23</v>
          </cell>
        </row>
        <row r="1433">
          <cell r="A1433" t="str">
            <v>Slovenia</v>
          </cell>
          <cell r="E1433">
            <v>244.76</v>
          </cell>
        </row>
        <row r="1434">
          <cell r="A1434" t="str">
            <v>Slovenia</v>
          </cell>
          <cell r="E1434">
            <v>18.48</v>
          </cell>
        </row>
        <row r="1435">
          <cell r="A1435" t="str">
            <v>Slovenia</v>
          </cell>
          <cell r="E1435">
            <v>197.86</v>
          </cell>
        </row>
        <row r="1436">
          <cell r="A1436" t="str">
            <v>Slovenia</v>
          </cell>
          <cell r="E1436">
            <v>1599.76</v>
          </cell>
        </row>
        <row r="1437">
          <cell r="A1437" t="str">
            <v>Slovenia</v>
          </cell>
          <cell r="E1437">
            <v>216.95</v>
          </cell>
        </row>
        <row r="1438">
          <cell r="A1438" t="str">
            <v>Slovenia</v>
          </cell>
          <cell r="E1438">
            <v>22.96</v>
          </cell>
        </row>
        <row r="1439">
          <cell r="A1439" t="str">
            <v>Slovenia</v>
          </cell>
          <cell r="E1439">
            <v>245.78</v>
          </cell>
        </row>
        <row r="1440">
          <cell r="A1440" t="str">
            <v>Slovenia</v>
          </cell>
          <cell r="E1440">
            <v>1988.41</v>
          </cell>
        </row>
        <row r="1441">
          <cell r="A1441" t="str">
            <v>Slovenia</v>
          </cell>
          <cell r="E1441">
            <v>269.52</v>
          </cell>
        </row>
        <row r="1442">
          <cell r="A1442" t="str">
            <v>South Africa</v>
          </cell>
          <cell r="E1442">
            <v>1478.57</v>
          </cell>
        </row>
        <row r="1443">
          <cell r="A1443" t="str">
            <v>South Africa</v>
          </cell>
          <cell r="E1443">
            <v>221.26</v>
          </cell>
        </row>
        <row r="1444">
          <cell r="A1444" t="str">
            <v>South Africa</v>
          </cell>
          <cell r="E1444">
            <v>1979.93</v>
          </cell>
        </row>
        <row r="1445">
          <cell r="A1445" t="str">
            <v>South Africa</v>
          </cell>
          <cell r="E1445">
            <v>336.62</v>
          </cell>
        </row>
        <row r="1446">
          <cell r="A1446" t="str">
            <v>South Africa</v>
          </cell>
          <cell r="E1446">
            <v>1255.77</v>
          </cell>
        </row>
        <row r="1447">
          <cell r="A1447" t="str">
            <v>South Africa</v>
          </cell>
          <cell r="E1447">
            <v>187.79</v>
          </cell>
        </row>
        <row r="1448">
          <cell r="A1448" t="str">
            <v>South Africa</v>
          </cell>
          <cell r="E1448">
            <v>1626.02</v>
          </cell>
        </row>
        <row r="1449">
          <cell r="A1449" t="str">
            <v>South Africa</v>
          </cell>
          <cell r="E1449">
            <v>276.2</v>
          </cell>
        </row>
        <row r="1450">
          <cell r="A1450" t="str">
            <v>South Africa</v>
          </cell>
          <cell r="E1450">
            <v>1216.3599999999999</v>
          </cell>
        </row>
        <row r="1451">
          <cell r="A1451" t="str">
            <v>South Africa</v>
          </cell>
          <cell r="E1451">
            <v>181.79</v>
          </cell>
        </row>
        <row r="1452">
          <cell r="A1452" t="str">
            <v>South Africa</v>
          </cell>
          <cell r="E1452">
            <v>1557.67</v>
          </cell>
        </row>
        <row r="1453">
          <cell r="A1453" t="str">
            <v>South Africa</v>
          </cell>
          <cell r="E1453">
            <v>264.41000000000003</v>
          </cell>
        </row>
        <row r="1454">
          <cell r="A1454" t="str">
            <v>South Africa</v>
          </cell>
          <cell r="E1454">
            <v>1170.6300000000001</v>
          </cell>
        </row>
        <row r="1455">
          <cell r="A1455" t="str">
            <v>South Africa</v>
          </cell>
          <cell r="E1455">
            <v>174.6</v>
          </cell>
        </row>
        <row r="1456">
          <cell r="A1456" t="str">
            <v>South Africa</v>
          </cell>
          <cell r="E1456">
            <v>1473.53</v>
          </cell>
        </row>
        <row r="1457">
          <cell r="A1457" t="str">
            <v>South Africa</v>
          </cell>
          <cell r="E1457">
            <v>250.68</v>
          </cell>
        </row>
        <row r="1458">
          <cell r="A1458" t="str">
            <v>South Africa</v>
          </cell>
          <cell r="E1458">
            <v>1196.75</v>
          </cell>
        </row>
        <row r="1459">
          <cell r="A1459" t="str">
            <v>South Africa</v>
          </cell>
          <cell r="E1459">
            <v>179.03</v>
          </cell>
        </row>
        <row r="1460">
          <cell r="A1460" t="str">
            <v>South Africa</v>
          </cell>
          <cell r="E1460">
            <v>1463.74</v>
          </cell>
        </row>
        <row r="1461">
          <cell r="A1461" t="str">
            <v>South Africa</v>
          </cell>
          <cell r="E1461">
            <v>249.56</v>
          </cell>
        </row>
        <row r="1462">
          <cell r="A1462" t="str">
            <v>South Korea</v>
          </cell>
          <cell r="E1462">
            <v>3381.73</v>
          </cell>
        </row>
        <row r="1463">
          <cell r="A1463" t="str">
            <v>South Korea</v>
          </cell>
          <cell r="E1463">
            <v>337.01</v>
          </cell>
        </row>
        <row r="1464">
          <cell r="A1464" t="str">
            <v>South Korea</v>
          </cell>
          <cell r="E1464">
            <v>9202.0499999999993</v>
          </cell>
        </row>
        <row r="1465">
          <cell r="A1465" t="str">
            <v>South Korea</v>
          </cell>
          <cell r="E1465">
            <v>918.47</v>
          </cell>
        </row>
        <row r="1466">
          <cell r="A1466" t="str">
            <v>South Korea</v>
          </cell>
          <cell r="E1466">
            <v>3628.38</v>
          </cell>
        </row>
        <row r="1467">
          <cell r="A1467" t="str">
            <v>South Korea</v>
          </cell>
          <cell r="E1467">
            <v>362.1</v>
          </cell>
        </row>
        <row r="1468">
          <cell r="A1468" t="str">
            <v>South Korea</v>
          </cell>
          <cell r="E1468">
            <v>9899.44</v>
          </cell>
        </row>
        <row r="1469">
          <cell r="A1469" t="str">
            <v>South Korea</v>
          </cell>
          <cell r="E1469">
            <v>986.59</v>
          </cell>
        </row>
        <row r="1470">
          <cell r="A1470" t="str">
            <v>South Korea</v>
          </cell>
          <cell r="E1470">
            <v>3432.89</v>
          </cell>
        </row>
        <row r="1471">
          <cell r="A1471" t="str">
            <v>South Korea</v>
          </cell>
          <cell r="E1471">
            <v>341.72</v>
          </cell>
        </row>
        <row r="1472">
          <cell r="A1472" t="str">
            <v>South Korea</v>
          </cell>
          <cell r="E1472">
            <v>9486.65</v>
          </cell>
        </row>
        <row r="1473">
          <cell r="A1473" t="str">
            <v>South Korea</v>
          </cell>
          <cell r="E1473">
            <v>944.11</v>
          </cell>
        </row>
        <row r="1474">
          <cell r="A1474" t="str">
            <v>South Korea</v>
          </cell>
          <cell r="E1474">
            <v>3325.77</v>
          </cell>
        </row>
        <row r="1475">
          <cell r="A1475" t="str">
            <v>South Korea</v>
          </cell>
          <cell r="E1475">
            <v>330.71</v>
          </cell>
        </row>
        <row r="1476">
          <cell r="A1476" t="str">
            <v>South Korea</v>
          </cell>
          <cell r="E1476">
            <v>9225.35</v>
          </cell>
        </row>
        <row r="1477">
          <cell r="A1477" t="str">
            <v>South Korea</v>
          </cell>
          <cell r="E1477">
            <v>916.74</v>
          </cell>
        </row>
        <row r="1478">
          <cell r="A1478" t="str">
            <v>South Korea</v>
          </cell>
          <cell r="E1478">
            <v>3375.07</v>
          </cell>
        </row>
        <row r="1479">
          <cell r="A1479" t="str">
            <v>South Korea</v>
          </cell>
          <cell r="E1479">
            <v>336.78</v>
          </cell>
        </row>
        <row r="1480">
          <cell r="A1480" t="str">
            <v>South Korea</v>
          </cell>
          <cell r="E1480">
            <v>9184.6</v>
          </cell>
        </row>
        <row r="1481">
          <cell r="A1481" t="str">
            <v>South Korea</v>
          </cell>
          <cell r="E1481">
            <v>915.91</v>
          </cell>
        </row>
        <row r="1482">
          <cell r="A1482" t="str">
            <v>Spain</v>
          </cell>
          <cell r="E1482">
            <v>7938.51</v>
          </cell>
        </row>
        <row r="1483">
          <cell r="A1483" t="str">
            <v>Spain</v>
          </cell>
          <cell r="E1483">
            <v>1749.31</v>
          </cell>
        </row>
        <row r="1484">
          <cell r="A1484" t="str">
            <v>Spain</v>
          </cell>
          <cell r="E1484">
            <v>15501.29</v>
          </cell>
        </row>
        <row r="1485">
          <cell r="A1485" t="str">
            <v>Spain</v>
          </cell>
          <cell r="E1485">
            <v>3189.13</v>
          </cell>
        </row>
        <row r="1486">
          <cell r="A1486" t="str">
            <v>Spain</v>
          </cell>
          <cell r="E1486">
            <v>7008.78</v>
          </cell>
        </row>
        <row r="1487">
          <cell r="A1487" t="str">
            <v>Spain</v>
          </cell>
          <cell r="E1487">
            <v>1543.51</v>
          </cell>
        </row>
        <row r="1488">
          <cell r="A1488" t="str">
            <v>Spain</v>
          </cell>
          <cell r="E1488">
            <v>13355.42</v>
          </cell>
        </row>
        <row r="1489">
          <cell r="A1489" t="str">
            <v>Spain</v>
          </cell>
          <cell r="E1489">
            <v>2746.07</v>
          </cell>
        </row>
        <row r="1490">
          <cell r="A1490" t="str">
            <v>Spain</v>
          </cell>
          <cell r="E1490">
            <v>6848.37</v>
          </cell>
        </row>
        <row r="1491">
          <cell r="A1491" t="str">
            <v>Spain</v>
          </cell>
          <cell r="E1491">
            <v>1507.32</v>
          </cell>
        </row>
        <row r="1492">
          <cell r="A1492" t="str">
            <v>Spain</v>
          </cell>
          <cell r="E1492">
            <v>13510.83</v>
          </cell>
        </row>
        <row r="1493">
          <cell r="A1493" t="str">
            <v>Spain</v>
          </cell>
          <cell r="E1493">
            <v>2776.22</v>
          </cell>
        </row>
        <row r="1494">
          <cell r="A1494" t="str">
            <v>Spain</v>
          </cell>
          <cell r="E1494">
            <v>7192.19</v>
          </cell>
        </row>
        <row r="1495">
          <cell r="A1495" t="str">
            <v>Spain</v>
          </cell>
          <cell r="E1495">
            <v>1582.08</v>
          </cell>
        </row>
        <row r="1496">
          <cell r="A1496" t="str">
            <v>Spain</v>
          </cell>
          <cell r="E1496">
            <v>14316.37</v>
          </cell>
        </row>
        <row r="1497">
          <cell r="A1497" t="str">
            <v>Spain</v>
          </cell>
          <cell r="E1497">
            <v>2939.9</v>
          </cell>
        </row>
        <row r="1498">
          <cell r="A1498" t="str">
            <v>Spain</v>
          </cell>
          <cell r="E1498">
            <v>7848.59</v>
          </cell>
        </row>
        <row r="1499">
          <cell r="A1499" t="str">
            <v>Spain</v>
          </cell>
          <cell r="E1499">
            <v>1726.07</v>
          </cell>
        </row>
        <row r="1500">
          <cell r="A1500" t="str">
            <v>Spain</v>
          </cell>
          <cell r="E1500">
            <v>15661.36</v>
          </cell>
        </row>
        <row r="1501">
          <cell r="A1501" t="str">
            <v>Spain</v>
          </cell>
          <cell r="E1501">
            <v>3214.72</v>
          </cell>
        </row>
        <row r="1502">
          <cell r="A1502" t="str">
            <v>Sri Lanka</v>
          </cell>
          <cell r="E1502">
            <v>643.22</v>
          </cell>
        </row>
        <row r="1503">
          <cell r="A1503" t="str">
            <v>Sri Lanka</v>
          </cell>
          <cell r="E1503">
            <v>101.18</v>
          </cell>
        </row>
        <row r="1504">
          <cell r="A1504" t="str">
            <v>Sri Lanka</v>
          </cell>
          <cell r="E1504">
            <v>1299.3</v>
          </cell>
        </row>
        <row r="1505">
          <cell r="A1505" t="str">
            <v>Sri Lanka</v>
          </cell>
          <cell r="E1505">
            <v>204.1</v>
          </cell>
        </row>
        <row r="1506">
          <cell r="A1506" t="str">
            <v>Sri Lanka</v>
          </cell>
          <cell r="E1506">
            <v>564.98</v>
          </cell>
        </row>
        <row r="1507">
          <cell r="A1507" t="str">
            <v>Sri Lanka</v>
          </cell>
          <cell r="E1507">
            <v>88.71</v>
          </cell>
        </row>
        <row r="1508">
          <cell r="A1508" t="str">
            <v>Sri Lanka</v>
          </cell>
          <cell r="E1508">
            <v>1155.25</v>
          </cell>
        </row>
        <row r="1509">
          <cell r="A1509" t="str">
            <v>Sri Lanka</v>
          </cell>
          <cell r="E1509">
            <v>181.14</v>
          </cell>
        </row>
        <row r="1510">
          <cell r="A1510" t="str">
            <v>Sri Lanka</v>
          </cell>
          <cell r="E1510">
            <v>590.16999999999996</v>
          </cell>
        </row>
        <row r="1511">
          <cell r="A1511" t="str">
            <v>Sri Lanka</v>
          </cell>
          <cell r="E1511">
            <v>92.72</v>
          </cell>
        </row>
        <row r="1512">
          <cell r="A1512" t="str">
            <v>Sri Lanka</v>
          </cell>
          <cell r="E1512">
            <v>1219.0999999999999</v>
          </cell>
        </row>
        <row r="1513">
          <cell r="A1513" t="str">
            <v>Sri Lanka</v>
          </cell>
          <cell r="E1513">
            <v>191.05</v>
          </cell>
        </row>
        <row r="1514">
          <cell r="A1514" t="str">
            <v>Sri Lanka</v>
          </cell>
          <cell r="E1514">
            <v>427.85</v>
          </cell>
        </row>
        <row r="1515">
          <cell r="A1515" t="str">
            <v>Sri Lanka</v>
          </cell>
          <cell r="E1515">
            <v>67.66</v>
          </cell>
        </row>
        <row r="1516">
          <cell r="A1516" t="str">
            <v>Sri Lanka</v>
          </cell>
          <cell r="E1516">
            <v>900.49</v>
          </cell>
        </row>
        <row r="1517">
          <cell r="A1517" t="str">
            <v>Sri Lanka</v>
          </cell>
          <cell r="E1517">
            <v>142</v>
          </cell>
        </row>
        <row r="1518">
          <cell r="A1518" t="str">
            <v>Sri Lanka</v>
          </cell>
          <cell r="E1518">
            <v>332.17</v>
          </cell>
        </row>
        <row r="1519">
          <cell r="A1519" t="str">
            <v>Sri Lanka</v>
          </cell>
          <cell r="E1519">
            <v>52.5</v>
          </cell>
        </row>
        <row r="1520">
          <cell r="A1520" t="str">
            <v>Sri Lanka</v>
          </cell>
          <cell r="E1520">
            <v>688.86</v>
          </cell>
        </row>
        <row r="1521">
          <cell r="A1521" t="str">
            <v>Sri Lanka</v>
          </cell>
          <cell r="E1521">
            <v>108.56</v>
          </cell>
        </row>
        <row r="1522">
          <cell r="A1522" t="str">
            <v>Sweden</v>
          </cell>
          <cell r="E1522">
            <v>1703.69</v>
          </cell>
        </row>
        <row r="1523">
          <cell r="A1523" t="str">
            <v>Sweden</v>
          </cell>
          <cell r="E1523">
            <v>456.95</v>
          </cell>
        </row>
        <row r="1524">
          <cell r="A1524" t="str">
            <v>Sweden</v>
          </cell>
          <cell r="E1524">
            <v>5269.15</v>
          </cell>
        </row>
        <row r="1525">
          <cell r="A1525" t="str">
            <v>Sweden</v>
          </cell>
          <cell r="E1525">
            <v>1025.83</v>
          </cell>
        </row>
        <row r="1526">
          <cell r="A1526" t="str">
            <v>Sweden</v>
          </cell>
          <cell r="E1526">
            <v>1666.59</v>
          </cell>
        </row>
        <row r="1527">
          <cell r="A1527" t="str">
            <v>Sweden</v>
          </cell>
          <cell r="E1527">
            <v>446.79</v>
          </cell>
        </row>
        <row r="1528">
          <cell r="A1528" t="str">
            <v>Sweden</v>
          </cell>
          <cell r="E1528">
            <v>5257.79</v>
          </cell>
        </row>
        <row r="1529">
          <cell r="A1529" t="str">
            <v>Sweden</v>
          </cell>
          <cell r="E1529">
            <v>1022.96</v>
          </cell>
        </row>
        <row r="1530">
          <cell r="A1530" t="str">
            <v>Sweden</v>
          </cell>
          <cell r="E1530">
            <v>1611.17</v>
          </cell>
        </row>
        <row r="1531">
          <cell r="A1531" t="str">
            <v>Sweden</v>
          </cell>
          <cell r="E1531">
            <v>431.95</v>
          </cell>
        </row>
        <row r="1532">
          <cell r="A1532" t="str">
            <v>Sweden</v>
          </cell>
          <cell r="E1532">
            <v>5097.7</v>
          </cell>
        </row>
        <row r="1533">
          <cell r="A1533" t="str">
            <v>Sweden</v>
          </cell>
          <cell r="E1533">
            <v>991.04</v>
          </cell>
        </row>
        <row r="1534">
          <cell r="A1534" t="str">
            <v>Sweden</v>
          </cell>
          <cell r="E1534">
            <v>1466.44</v>
          </cell>
        </row>
        <row r="1535">
          <cell r="A1535" t="str">
            <v>Sweden</v>
          </cell>
          <cell r="E1535">
            <v>392.83</v>
          </cell>
        </row>
        <row r="1536">
          <cell r="A1536" t="str">
            <v>Sweden</v>
          </cell>
          <cell r="E1536">
            <v>4618.8500000000004</v>
          </cell>
        </row>
        <row r="1537">
          <cell r="A1537" t="str">
            <v>Sweden</v>
          </cell>
          <cell r="E1537">
            <v>897.03</v>
          </cell>
        </row>
        <row r="1538">
          <cell r="A1538" t="str">
            <v>Sweden</v>
          </cell>
          <cell r="E1538">
            <v>1598.13</v>
          </cell>
        </row>
        <row r="1539">
          <cell r="A1539" t="str">
            <v>Sweden</v>
          </cell>
          <cell r="E1539">
            <v>429.8</v>
          </cell>
        </row>
        <row r="1540">
          <cell r="A1540" t="str">
            <v>Sweden</v>
          </cell>
          <cell r="E1540">
            <v>4837.04</v>
          </cell>
        </row>
        <row r="1541">
          <cell r="A1541" t="str">
            <v>Sweden</v>
          </cell>
          <cell r="E1541">
            <v>942.8</v>
          </cell>
        </row>
        <row r="1542">
          <cell r="A1542" t="str">
            <v>Switzerland</v>
          </cell>
          <cell r="E1542">
            <v>1688.36</v>
          </cell>
        </row>
        <row r="1543">
          <cell r="A1543" t="str">
            <v>Switzerland</v>
          </cell>
          <cell r="E1543">
            <v>152.13999999999999</v>
          </cell>
        </row>
        <row r="1544">
          <cell r="A1544" t="str">
            <v>Switzerland</v>
          </cell>
          <cell r="E1544">
            <v>6270.92</v>
          </cell>
        </row>
        <row r="1545">
          <cell r="A1545" t="str">
            <v>Switzerland</v>
          </cell>
          <cell r="E1545">
            <v>580.91</v>
          </cell>
        </row>
        <row r="1546">
          <cell r="A1546" t="str">
            <v>Switzerland</v>
          </cell>
          <cell r="E1546">
            <v>1785.21</v>
          </cell>
        </row>
        <row r="1547">
          <cell r="A1547" t="str">
            <v>Switzerland</v>
          </cell>
          <cell r="E1547">
            <v>160.79</v>
          </cell>
        </row>
        <row r="1548">
          <cell r="A1548" t="str">
            <v>Switzerland</v>
          </cell>
          <cell r="E1548">
            <v>6600.8</v>
          </cell>
        </row>
        <row r="1549">
          <cell r="A1549" t="str">
            <v>Switzerland</v>
          </cell>
          <cell r="E1549">
            <v>611.09</v>
          </cell>
        </row>
        <row r="1550">
          <cell r="A1550" t="str">
            <v>Switzerland</v>
          </cell>
          <cell r="E1550">
            <v>1867.46</v>
          </cell>
        </row>
        <row r="1551">
          <cell r="A1551" t="str">
            <v>Switzerland</v>
          </cell>
          <cell r="E1551">
            <v>168.15</v>
          </cell>
        </row>
        <row r="1552">
          <cell r="A1552" t="str">
            <v>Switzerland</v>
          </cell>
          <cell r="E1552">
            <v>6813.96</v>
          </cell>
        </row>
        <row r="1553">
          <cell r="A1553" t="str">
            <v>Switzerland</v>
          </cell>
          <cell r="E1553">
            <v>632.46</v>
          </cell>
        </row>
        <row r="1554">
          <cell r="A1554" t="str">
            <v>Switzerland</v>
          </cell>
          <cell r="E1554">
            <v>1787.64</v>
          </cell>
        </row>
        <row r="1555">
          <cell r="A1555" t="str">
            <v>Switzerland</v>
          </cell>
          <cell r="E1555">
            <v>160.88</v>
          </cell>
        </row>
        <row r="1556">
          <cell r="A1556" t="str">
            <v>Switzerland</v>
          </cell>
          <cell r="E1556">
            <v>6430.6</v>
          </cell>
        </row>
        <row r="1557">
          <cell r="A1557" t="str">
            <v>Switzerland</v>
          </cell>
          <cell r="E1557">
            <v>598.52</v>
          </cell>
        </row>
        <row r="1558">
          <cell r="A1558" t="str">
            <v>Switzerland</v>
          </cell>
          <cell r="E1558">
            <v>1738.51</v>
          </cell>
        </row>
        <row r="1559">
          <cell r="A1559" t="str">
            <v>Switzerland</v>
          </cell>
          <cell r="E1559">
            <v>156.91999999999999</v>
          </cell>
        </row>
        <row r="1560">
          <cell r="A1560" t="str">
            <v>Switzerland</v>
          </cell>
          <cell r="E1560">
            <v>6189.26</v>
          </cell>
        </row>
        <row r="1561">
          <cell r="A1561" t="str">
            <v>Switzerland</v>
          </cell>
          <cell r="E1561">
            <v>577.54999999999995</v>
          </cell>
        </row>
        <row r="1562">
          <cell r="A1562" t="str">
            <v>Taiwan</v>
          </cell>
          <cell r="E1562">
            <v>2558.44</v>
          </cell>
        </row>
        <row r="1563">
          <cell r="A1563" t="str">
            <v>Taiwan</v>
          </cell>
          <cell r="E1563">
            <v>215.17</v>
          </cell>
        </row>
        <row r="1564">
          <cell r="A1564" t="str">
            <v>Taiwan</v>
          </cell>
          <cell r="E1564">
            <v>5037.1099999999997</v>
          </cell>
        </row>
        <row r="1565">
          <cell r="A1565" t="str">
            <v>Taiwan</v>
          </cell>
          <cell r="E1565">
            <v>424</v>
          </cell>
        </row>
        <row r="1566">
          <cell r="A1566" t="str">
            <v>Taiwan</v>
          </cell>
          <cell r="E1566">
            <v>2743.18</v>
          </cell>
        </row>
        <row r="1567">
          <cell r="A1567" t="str">
            <v>Taiwan</v>
          </cell>
          <cell r="E1567">
            <v>230.64</v>
          </cell>
        </row>
        <row r="1568">
          <cell r="A1568" t="str">
            <v>Taiwan</v>
          </cell>
          <cell r="E1568">
            <v>5484.63</v>
          </cell>
        </row>
        <row r="1569">
          <cell r="A1569" t="str">
            <v>Taiwan</v>
          </cell>
          <cell r="E1569">
            <v>461.32</v>
          </cell>
        </row>
        <row r="1570">
          <cell r="A1570" t="str">
            <v>Taiwan</v>
          </cell>
          <cell r="E1570">
            <v>2945.39</v>
          </cell>
        </row>
        <row r="1571">
          <cell r="A1571" t="str">
            <v>Taiwan</v>
          </cell>
          <cell r="E1571">
            <v>247.84</v>
          </cell>
        </row>
        <row r="1572">
          <cell r="A1572" t="str">
            <v>Taiwan</v>
          </cell>
          <cell r="E1572">
            <v>5937.3</v>
          </cell>
        </row>
        <row r="1573">
          <cell r="A1573" t="str">
            <v>Taiwan</v>
          </cell>
          <cell r="E1573">
            <v>499.12</v>
          </cell>
        </row>
        <row r="1574">
          <cell r="A1574" t="str">
            <v>Taiwan</v>
          </cell>
          <cell r="E1574">
            <v>3025.55</v>
          </cell>
        </row>
        <row r="1575">
          <cell r="A1575" t="str">
            <v>Taiwan</v>
          </cell>
          <cell r="E1575">
            <v>256.32</v>
          </cell>
        </row>
        <row r="1576">
          <cell r="A1576" t="str">
            <v>Taiwan</v>
          </cell>
          <cell r="E1576">
            <v>6118.29</v>
          </cell>
        </row>
        <row r="1577">
          <cell r="A1577" t="str">
            <v>Taiwan</v>
          </cell>
          <cell r="E1577">
            <v>517.91999999999996</v>
          </cell>
        </row>
        <row r="1578">
          <cell r="A1578" t="str">
            <v>Taiwan</v>
          </cell>
          <cell r="E1578">
            <v>2943.81</v>
          </cell>
        </row>
        <row r="1579">
          <cell r="A1579" t="str">
            <v>Taiwan</v>
          </cell>
          <cell r="E1579">
            <v>251.13</v>
          </cell>
        </row>
        <row r="1580">
          <cell r="A1580" t="str">
            <v>Taiwan</v>
          </cell>
          <cell r="E1580">
            <v>5896.69</v>
          </cell>
        </row>
        <row r="1581">
          <cell r="A1581" t="str">
            <v>Taiwan</v>
          </cell>
          <cell r="E1581">
            <v>502.6</v>
          </cell>
        </row>
        <row r="1582">
          <cell r="A1582" t="str">
            <v>Tanzania</v>
          </cell>
          <cell r="E1582">
            <v>184.26</v>
          </cell>
        </row>
        <row r="1583">
          <cell r="A1583" t="str">
            <v>Tanzania</v>
          </cell>
          <cell r="E1583">
            <v>54.33</v>
          </cell>
        </row>
        <row r="1584">
          <cell r="A1584" t="str">
            <v>Tanzania</v>
          </cell>
          <cell r="E1584">
            <v>618.57000000000005</v>
          </cell>
        </row>
        <row r="1585">
          <cell r="A1585" t="str">
            <v>Tanzania</v>
          </cell>
          <cell r="E1585">
            <v>177.91</v>
          </cell>
        </row>
        <row r="1586">
          <cell r="A1586" t="str">
            <v>Tanzania</v>
          </cell>
          <cell r="E1586">
            <v>202.34</v>
          </cell>
        </row>
        <row r="1587">
          <cell r="A1587" t="str">
            <v>Tanzania</v>
          </cell>
          <cell r="E1587">
            <v>59.65</v>
          </cell>
        </row>
        <row r="1588">
          <cell r="A1588" t="str">
            <v>Tanzania</v>
          </cell>
          <cell r="E1588">
            <v>673.21</v>
          </cell>
        </row>
        <row r="1589">
          <cell r="A1589" t="str">
            <v>Tanzania</v>
          </cell>
          <cell r="E1589">
            <v>193.52</v>
          </cell>
        </row>
        <row r="1590">
          <cell r="A1590" t="str">
            <v>Tanzania</v>
          </cell>
          <cell r="E1590">
            <v>208.97</v>
          </cell>
        </row>
        <row r="1591">
          <cell r="A1591" t="str">
            <v>Tanzania</v>
          </cell>
          <cell r="E1591">
            <v>61.4</v>
          </cell>
        </row>
        <row r="1592">
          <cell r="A1592" t="str">
            <v>Tanzania</v>
          </cell>
          <cell r="E1592">
            <v>694.43</v>
          </cell>
        </row>
        <row r="1593">
          <cell r="A1593" t="str">
            <v>Tanzania</v>
          </cell>
          <cell r="E1593">
            <v>199.51</v>
          </cell>
        </row>
        <row r="1594">
          <cell r="A1594" t="str">
            <v>Tanzania</v>
          </cell>
          <cell r="E1594">
            <v>221.91</v>
          </cell>
        </row>
        <row r="1595">
          <cell r="A1595" t="str">
            <v>Tanzania</v>
          </cell>
          <cell r="E1595">
            <v>65.62</v>
          </cell>
        </row>
        <row r="1596">
          <cell r="A1596" t="str">
            <v>Tanzania</v>
          </cell>
          <cell r="E1596">
            <v>732.57</v>
          </cell>
        </row>
        <row r="1597">
          <cell r="A1597" t="str">
            <v>Tanzania</v>
          </cell>
          <cell r="E1597">
            <v>210.33</v>
          </cell>
        </row>
        <row r="1598">
          <cell r="A1598" t="str">
            <v>Tanzania</v>
          </cell>
          <cell r="E1598">
            <v>233.92</v>
          </cell>
        </row>
        <row r="1599">
          <cell r="A1599" t="str">
            <v>Tanzania</v>
          </cell>
          <cell r="E1599">
            <v>69.099999999999994</v>
          </cell>
        </row>
        <row r="1600">
          <cell r="A1600" t="str">
            <v>Tanzania</v>
          </cell>
          <cell r="E1600">
            <v>769.91</v>
          </cell>
        </row>
        <row r="1601">
          <cell r="A1601" t="str">
            <v>Tanzania</v>
          </cell>
          <cell r="E1601">
            <v>220.91</v>
          </cell>
        </row>
        <row r="1602">
          <cell r="A1602" t="str">
            <v>Thailand</v>
          </cell>
          <cell r="E1602">
            <v>1314.8</v>
          </cell>
        </row>
        <row r="1603">
          <cell r="A1603" t="str">
            <v>Thailand</v>
          </cell>
          <cell r="E1603">
            <v>303.82</v>
          </cell>
        </row>
        <row r="1604">
          <cell r="A1604" t="str">
            <v>Thailand</v>
          </cell>
          <cell r="E1604">
            <v>1663.01</v>
          </cell>
        </row>
        <row r="1605">
          <cell r="A1605" t="str">
            <v>Thailand</v>
          </cell>
          <cell r="E1605">
            <v>386.18</v>
          </cell>
        </row>
        <row r="1606">
          <cell r="A1606" t="str">
            <v>Thailand</v>
          </cell>
          <cell r="E1606">
            <v>1470.14</v>
          </cell>
        </row>
        <row r="1607">
          <cell r="A1607" t="str">
            <v>Thailand</v>
          </cell>
          <cell r="E1607">
            <v>340.64</v>
          </cell>
        </row>
        <row r="1608">
          <cell r="A1608" t="str">
            <v>Thailand</v>
          </cell>
          <cell r="E1608">
            <v>1821.8</v>
          </cell>
        </row>
        <row r="1609">
          <cell r="A1609" t="str">
            <v>Thailand</v>
          </cell>
          <cell r="E1609">
            <v>424.18</v>
          </cell>
        </row>
        <row r="1610">
          <cell r="A1610" t="str">
            <v>Thailand</v>
          </cell>
          <cell r="E1610">
            <v>1570.3</v>
          </cell>
        </row>
        <row r="1611">
          <cell r="A1611" t="str">
            <v>Thailand</v>
          </cell>
          <cell r="E1611">
            <v>363.71</v>
          </cell>
        </row>
        <row r="1612">
          <cell r="A1612" t="str">
            <v>Thailand</v>
          </cell>
          <cell r="E1612">
            <v>1895.63</v>
          </cell>
        </row>
        <row r="1613">
          <cell r="A1613" t="str">
            <v>Thailand</v>
          </cell>
          <cell r="E1613">
            <v>444.92</v>
          </cell>
        </row>
        <row r="1614">
          <cell r="A1614" t="str">
            <v>Thailand</v>
          </cell>
          <cell r="E1614">
            <v>1587.25</v>
          </cell>
        </row>
        <row r="1615">
          <cell r="A1615" t="str">
            <v>Thailand</v>
          </cell>
          <cell r="E1615">
            <v>367.47</v>
          </cell>
        </row>
        <row r="1616">
          <cell r="A1616" t="str">
            <v>Thailand</v>
          </cell>
          <cell r="E1616">
            <v>1890.42</v>
          </cell>
        </row>
        <row r="1617">
          <cell r="A1617" t="str">
            <v>Thailand</v>
          </cell>
          <cell r="E1617">
            <v>446.06</v>
          </cell>
        </row>
        <row r="1618">
          <cell r="A1618" t="str">
            <v>Thailand</v>
          </cell>
          <cell r="E1618">
            <v>1616.01</v>
          </cell>
        </row>
        <row r="1619">
          <cell r="A1619" t="str">
            <v>Thailand</v>
          </cell>
          <cell r="E1619">
            <v>374.33</v>
          </cell>
        </row>
        <row r="1620">
          <cell r="A1620" t="str">
            <v>Thailand</v>
          </cell>
          <cell r="E1620">
            <v>1904.03</v>
          </cell>
        </row>
        <row r="1621">
          <cell r="A1621" t="str">
            <v>Thailand</v>
          </cell>
          <cell r="E1621">
            <v>448.98</v>
          </cell>
        </row>
        <row r="1622">
          <cell r="A1622" t="str">
            <v>Tunisia</v>
          </cell>
          <cell r="E1622">
            <v>171.73</v>
          </cell>
        </row>
        <row r="1623">
          <cell r="A1623" t="str">
            <v>Tunisia</v>
          </cell>
          <cell r="E1623">
            <v>17.09</v>
          </cell>
        </row>
        <row r="1624">
          <cell r="A1624" t="str">
            <v>Tunisia</v>
          </cell>
          <cell r="E1624">
            <v>284.2</v>
          </cell>
        </row>
        <row r="1625">
          <cell r="A1625" t="str">
            <v>Tunisia</v>
          </cell>
          <cell r="E1625">
            <v>28.3</v>
          </cell>
        </row>
        <row r="1626">
          <cell r="A1626" t="str">
            <v>Tunisia</v>
          </cell>
          <cell r="E1626">
            <v>147.32</v>
          </cell>
        </row>
        <row r="1627">
          <cell r="A1627" t="str">
            <v>Tunisia</v>
          </cell>
          <cell r="E1627">
            <v>14.65</v>
          </cell>
        </row>
        <row r="1628">
          <cell r="A1628" t="str">
            <v>Tunisia</v>
          </cell>
          <cell r="E1628">
            <v>249.71</v>
          </cell>
        </row>
        <row r="1629">
          <cell r="A1629" t="str">
            <v>Tunisia</v>
          </cell>
          <cell r="E1629">
            <v>24.85</v>
          </cell>
        </row>
        <row r="1630">
          <cell r="A1630" t="str">
            <v>Tunisia</v>
          </cell>
          <cell r="E1630">
            <v>158.96</v>
          </cell>
        </row>
        <row r="1631">
          <cell r="A1631" t="str">
            <v>Tunisia</v>
          </cell>
          <cell r="E1631">
            <v>15.75</v>
          </cell>
        </row>
        <row r="1632">
          <cell r="A1632" t="str">
            <v>Tunisia</v>
          </cell>
          <cell r="E1632">
            <v>271.52999999999997</v>
          </cell>
        </row>
        <row r="1633">
          <cell r="A1633" t="str">
            <v>Tunisia</v>
          </cell>
          <cell r="E1633">
            <v>26.98</v>
          </cell>
        </row>
        <row r="1634">
          <cell r="A1634" t="str">
            <v>Tunisia</v>
          </cell>
          <cell r="E1634">
            <v>151.71</v>
          </cell>
        </row>
        <row r="1635">
          <cell r="A1635" t="str">
            <v>Tunisia</v>
          </cell>
          <cell r="E1635">
            <v>15.14</v>
          </cell>
        </row>
        <row r="1636">
          <cell r="A1636" t="str">
            <v>Tunisia</v>
          </cell>
          <cell r="E1636">
            <v>249.98</v>
          </cell>
        </row>
        <row r="1637">
          <cell r="A1637" t="str">
            <v>Tunisia</v>
          </cell>
          <cell r="E1637">
            <v>24.83</v>
          </cell>
        </row>
        <row r="1638">
          <cell r="A1638" t="str">
            <v>Tunisia</v>
          </cell>
          <cell r="E1638">
            <v>147.97</v>
          </cell>
        </row>
        <row r="1639">
          <cell r="A1639" t="str">
            <v>Tunisia</v>
          </cell>
          <cell r="E1639">
            <v>14.75</v>
          </cell>
        </row>
        <row r="1640">
          <cell r="A1640" t="str">
            <v>Tunisia</v>
          </cell>
          <cell r="E1640">
            <v>248.74</v>
          </cell>
        </row>
        <row r="1641">
          <cell r="A1641" t="str">
            <v>Tunisia</v>
          </cell>
          <cell r="E1641">
            <v>24.69</v>
          </cell>
        </row>
        <row r="1642">
          <cell r="A1642" t="str">
            <v>Turkey</v>
          </cell>
          <cell r="E1642">
            <v>1092.17</v>
          </cell>
        </row>
        <row r="1643">
          <cell r="A1643" t="str">
            <v>Turkey</v>
          </cell>
          <cell r="E1643">
            <v>400.9</v>
          </cell>
        </row>
        <row r="1644">
          <cell r="A1644" t="str">
            <v>Turkey</v>
          </cell>
          <cell r="E1644">
            <v>6370.72</v>
          </cell>
        </row>
        <row r="1645">
          <cell r="A1645" t="str">
            <v>Turkey</v>
          </cell>
          <cell r="E1645">
            <v>2180.9499999999998</v>
          </cell>
        </row>
        <row r="1646">
          <cell r="A1646" t="str">
            <v>Turkey</v>
          </cell>
          <cell r="E1646">
            <v>1125.3</v>
          </cell>
        </row>
        <row r="1647">
          <cell r="A1647" t="str">
            <v>Turkey</v>
          </cell>
          <cell r="E1647">
            <v>412.49</v>
          </cell>
        </row>
        <row r="1648">
          <cell r="A1648" t="str">
            <v>Turkey</v>
          </cell>
          <cell r="E1648">
            <v>6420.53</v>
          </cell>
        </row>
        <row r="1649">
          <cell r="A1649" t="str">
            <v>Turkey</v>
          </cell>
          <cell r="E1649">
            <v>2197.89</v>
          </cell>
        </row>
        <row r="1650">
          <cell r="A1650" t="str">
            <v>Turkey</v>
          </cell>
          <cell r="E1650">
            <v>1017.51</v>
          </cell>
        </row>
        <row r="1651">
          <cell r="A1651" t="str">
            <v>Turkey</v>
          </cell>
          <cell r="E1651">
            <v>372.81</v>
          </cell>
        </row>
        <row r="1652">
          <cell r="A1652" t="str">
            <v>Turkey</v>
          </cell>
          <cell r="E1652">
            <v>5814.05</v>
          </cell>
        </row>
        <row r="1653">
          <cell r="A1653" t="str">
            <v>Turkey</v>
          </cell>
          <cell r="E1653">
            <v>1988.3</v>
          </cell>
        </row>
        <row r="1654">
          <cell r="A1654" t="str">
            <v>Turkey</v>
          </cell>
          <cell r="E1654">
            <v>952.06</v>
          </cell>
        </row>
        <row r="1655">
          <cell r="A1655" t="str">
            <v>Turkey</v>
          </cell>
          <cell r="E1655">
            <v>348.64</v>
          </cell>
        </row>
        <row r="1656">
          <cell r="A1656" t="str">
            <v>Turkey</v>
          </cell>
          <cell r="E1656">
            <v>5178.66</v>
          </cell>
        </row>
        <row r="1657">
          <cell r="A1657" t="str">
            <v>Turkey</v>
          </cell>
          <cell r="E1657">
            <v>1769.79</v>
          </cell>
        </row>
        <row r="1658">
          <cell r="A1658" t="str">
            <v>Turkey</v>
          </cell>
          <cell r="E1658">
            <v>895.22</v>
          </cell>
        </row>
        <row r="1659">
          <cell r="A1659" t="str">
            <v>Turkey</v>
          </cell>
          <cell r="E1659">
            <v>328.76</v>
          </cell>
        </row>
        <row r="1660">
          <cell r="A1660" t="str">
            <v>Turkey</v>
          </cell>
          <cell r="E1660">
            <v>4783.7299999999996</v>
          </cell>
        </row>
        <row r="1661">
          <cell r="A1661" t="str">
            <v>Turkey</v>
          </cell>
          <cell r="E1661">
            <v>1639.72</v>
          </cell>
        </row>
        <row r="1662">
          <cell r="A1662" t="str">
            <v>Ukraine</v>
          </cell>
          <cell r="E1662">
            <v>1341.33</v>
          </cell>
        </row>
        <row r="1663">
          <cell r="A1663" t="str">
            <v>Ukraine</v>
          </cell>
          <cell r="E1663">
            <v>299.33999999999997</v>
          </cell>
        </row>
        <row r="1664">
          <cell r="A1664" t="str">
            <v>Ukraine</v>
          </cell>
          <cell r="E1664">
            <v>3488.3</v>
          </cell>
        </row>
        <row r="1665">
          <cell r="A1665" t="str">
            <v>Ukraine</v>
          </cell>
          <cell r="E1665">
            <v>778.89</v>
          </cell>
        </row>
        <row r="1666">
          <cell r="A1666" t="str">
            <v>Ukraine</v>
          </cell>
          <cell r="E1666">
            <v>1591.73</v>
          </cell>
        </row>
        <row r="1667">
          <cell r="A1667" t="str">
            <v>Ukraine</v>
          </cell>
          <cell r="E1667">
            <v>355.01</v>
          </cell>
        </row>
        <row r="1668">
          <cell r="A1668" t="str">
            <v>Ukraine</v>
          </cell>
          <cell r="E1668">
            <v>4073.41</v>
          </cell>
        </row>
        <row r="1669">
          <cell r="A1669" t="str">
            <v>Ukraine</v>
          </cell>
          <cell r="E1669">
            <v>908.99</v>
          </cell>
        </row>
        <row r="1670">
          <cell r="A1670" t="str">
            <v>Ukraine</v>
          </cell>
          <cell r="E1670">
            <v>1721.59</v>
          </cell>
        </row>
        <row r="1671">
          <cell r="A1671" t="str">
            <v>Ukraine</v>
          </cell>
          <cell r="E1671">
            <v>385.03</v>
          </cell>
        </row>
        <row r="1672">
          <cell r="A1672" t="str">
            <v>Ukraine</v>
          </cell>
          <cell r="E1672">
            <v>4364.79</v>
          </cell>
        </row>
        <row r="1673">
          <cell r="A1673" t="str">
            <v>Ukraine</v>
          </cell>
          <cell r="E1673">
            <v>972.86</v>
          </cell>
        </row>
        <row r="1674">
          <cell r="A1674" t="str">
            <v>Ukraine</v>
          </cell>
          <cell r="E1674">
            <v>492.87</v>
          </cell>
        </row>
        <row r="1675">
          <cell r="A1675" t="str">
            <v>Ukraine</v>
          </cell>
          <cell r="E1675">
            <v>111.16</v>
          </cell>
        </row>
        <row r="1676">
          <cell r="A1676" t="str">
            <v>Ukraine</v>
          </cell>
          <cell r="E1676">
            <v>1272.97</v>
          </cell>
        </row>
        <row r="1677">
          <cell r="A1677" t="str">
            <v>Ukraine</v>
          </cell>
          <cell r="E1677">
            <v>285.95999999999998</v>
          </cell>
        </row>
        <row r="1678">
          <cell r="A1678" t="str">
            <v>Ukraine</v>
          </cell>
          <cell r="E1678">
            <v>839.27</v>
          </cell>
        </row>
        <row r="1679">
          <cell r="A1679" t="str">
            <v>Ukraine</v>
          </cell>
          <cell r="E1679">
            <v>189.17</v>
          </cell>
        </row>
        <row r="1680">
          <cell r="A1680" t="str">
            <v>Ukraine</v>
          </cell>
          <cell r="E1680">
            <v>2161.5</v>
          </cell>
        </row>
        <row r="1681">
          <cell r="A1681" t="str">
            <v>Ukraine</v>
          </cell>
          <cell r="E1681">
            <v>485.38</v>
          </cell>
        </row>
        <row r="1682">
          <cell r="A1682" t="str">
            <v>United Arab Emirates</v>
          </cell>
          <cell r="E1682">
            <v>2239.44</v>
          </cell>
        </row>
        <row r="1683">
          <cell r="A1683" t="str">
            <v>United Arab Emirates</v>
          </cell>
          <cell r="E1683">
            <v>361.75</v>
          </cell>
        </row>
        <row r="1684">
          <cell r="A1684" t="str">
            <v>United Arab Emirates</v>
          </cell>
          <cell r="E1684">
            <v>5300.8</v>
          </cell>
        </row>
        <row r="1685">
          <cell r="A1685" t="str">
            <v>United Arab Emirates</v>
          </cell>
          <cell r="E1685">
            <v>1250.81</v>
          </cell>
        </row>
        <row r="1686">
          <cell r="A1686" t="str">
            <v>United Arab Emirates</v>
          </cell>
          <cell r="E1686">
            <v>2294.7399999999998</v>
          </cell>
        </row>
        <row r="1687">
          <cell r="A1687" t="str">
            <v>United Arab Emirates</v>
          </cell>
          <cell r="E1687">
            <v>370.52</v>
          </cell>
        </row>
        <row r="1688">
          <cell r="A1688" t="str">
            <v>United Arab Emirates</v>
          </cell>
          <cell r="E1688">
            <v>5236.3500000000004</v>
          </cell>
        </row>
        <row r="1689">
          <cell r="A1689" t="str">
            <v>United Arab Emirates</v>
          </cell>
          <cell r="E1689">
            <v>1235.03</v>
          </cell>
        </row>
        <row r="1690">
          <cell r="A1690" t="str">
            <v>United Arab Emirates</v>
          </cell>
          <cell r="E1690">
            <v>2360.33</v>
          </cell>
        </row>
        <row r="1691">
          <cell r="A1691" t="str">
            <v>United Arab Emirates</v>
          </cell>
          <cell r="E1691">
            <v>381.44</v>
          </cell>
        </row>
        <row r="1692">
          <cell r="A1692" t="str">
            <v>United Arab Emirates</v>
          </cell>
          <cell r="E1692">
            <v>5304.13</v>
          </cell>
        </row>
        <row r="1693">
          <cell r="A1693" t="str">
            <v>United Arab Emirates</v>
          </cell>
          <cell r="E1693">
            <v>1250.6199999999999</v>
          </cell>
        </row>
        <row r="1694">
          <cell r="A1694" t="str">
            <v>United Arab Emirates</v>
          </cell>
          <cell r="E1694">
            <v>2478.8200000000002</v>
          </cell>
        </row>
        <row r="1695">
          <cell r="A1695" t="str">
            <v>United Arab Emirates</v>
          </cell>
          <cell r="E1695">
            <v>400.94</v>
          </cell>
        </row>
        <row r="1696">
          <cell r="A1696" t="str">
            <v>United Arab Emirates</v>
          </cell>
          <cell r="E1696">
            <v>5608.7</v>
          </cell>
        </row>
        <row r="1697">
          <cell r="A1697" t="str">
            <v>United Arab Emirates</v>
          </cell>
          <cell r="E1697">
            <v>1321.83</v>
          </cell>
        </row>
        <row r="1698">
          <cell r="A1698" t="str">
            <v>United Arab Emirates</v>
          </cell>
          <cell r="E1698">
            <v>2672.58</v>
          </cell>
        </row>
        <row r="1699">
          <cell r="A1699" t="str">
            <v>United Arab Emirates</v>
          </cell>
          <cell r="E1699">
            <v>435.43</v>
          </cell>
        </row>
        <row r="1700">
          <cell r="A1700" t="str">
            <v>United Arab Emirates</v>
          </cell>
          <cell r="E1700">
            <v>6012.43</v>
          </cell>
        </row>
        <row r="1701">
          <cell r="A1701" t="str">
            <v>United Arab Emirates</v>
          </cell>
          <cell r="E1701">
            <v>1427.46</v>
          </cell>
        </row>
        <row r="1702">
          <cell r="A1702" t="str">
            <v>United Kingdom</v>
          </cell>
          <cell r="E1702">
            <v>11163.5</v>
          </cell>
        </row>
        <row r="1703">
          <cell r="A1703" t="str">
            <v>United Kingdom</v>
          </cell>
          <cell r="E1703">
            <v>1627.57</v>
          </cell>
        </row>
        <row r="1704">
          <cell r="A1704" t="str">
            <v>United Kingdom</v>
          </cell>
          <cell r="E1704">
            <v>10969.31</v>
          </cell>
        </row>
        <row r="1705">
          <cell r="A1705" t="str">
            <v>United Kingdom</v>
          </cell>
          <cell r="E1705">
            <v>2240.67</v>
          </cell>
        </row>
        <row r="1706">
          <cell r="A1706" t="str">
            <v>United Kingdom</v>
          </cell>
          <cell r="E1706">
            <v>6128.85</v>
          </cell>
        </row>
        <row r="1707">
          <cell r="A1707" t="str">
            <v>United Kingdom</v>
          </cell>
          <cell r="E1707">
            <v>988.18</v>
          </cell>
        </row>
        <row r="1708">
          <cell r="A1708" t="str">
            <v>United Kingdom</v>
          </cell>
          <cell r="E1708">
            <v>11300.5</v>
          </cell>
        </row>
        <row r="1709">
          <cell r="A1709" t="str">
            <v>United Kingdom</v>
          </cell>
          <cell r="E1709">
            <v>2481.16</v>
          </cell>
        </row>
        <row r="1710">
          <cell r="A1710" t="str">
            <v>United Kingdom</v>
          </cell>
          <cell r="E1710">
            <v>11407.75</v>
          </cell>
        </row>
        <row r="1711">
          <cell r="A1711" t="str">
            <v>United Kingdom</v>
          </cell>
          <cell r="E1711">
            <v>1509.7</v>
          </cell>
        </row>
        <row r="1712">
          <cell r="A1712" t="str">
            <v>United Kingdom</v>
          </cell>
          <cell r="E1712">
            <v>18253.38</v>
          </cell>
        </row>
        <row r="1713">
          <cell r="A1713" t="str">
            <v>United Kingdom</v>
          </cell>
          <cell r="E1713">
            <v>3668.95</v>
          </cell>
        </row>
        <row r="1714">
          <cell r="A1714" t="str">
            <v>United Kingdom</v>
          </cell>
          <cell r="E1714">
            <v>14949.81</v>
          </cell>
        </row>
        <row r="1715">
          <cell r="A1715" t="str">
            <v>United Kingdom</v>
          </cell>
          <cell r="E1715">
            <v>2130.94</v>
          </cell>
        </row>
        <row r="1716">
          <cell r="A1716" t="str">
            <v>United Kingdom</v>
          </cell>
          <cell r="E1716">
            <v>20347.46</v>
          </cell>
        </row>
        <row r="1717">
          <cell r="A1717" t="str">
            <v>United Kingdom</v>
          </cell>
          <cell r="E1717">
            <v>4268.01</v>
          </cell>
        </row>
        <row r="1718">
          <cell r="A1718" t="str">
            <v>United Kingdom</v>
          </cell>
          <cell r="E1718">
            <v>15882.31</v>
          </cell>
        </row>
        <row r="1719">
          <cell r="A1719" t="str">
            <v>United Kingdom</v>
          </cell>
          <cell r="E1719">
            <v>2267.52</v>
          </cell>
        </row>
        <row r="1720">
          <cell r="A1720" t="str">
            <v>United Kingdom</v>
          </cell>
          <cell r="E1720">
            <v>20704.73</v>
          </cell>
        </row>
        <row r="1721">
          <cell r="A1721" t="str">
            <v>United Kingdom</v>
          </cell>
          <cell r="E1721">
            <v>4356.12</v>
          </cell>
        </row>
        <row r="1722">
          <cell r="A1722" t="str">
            <v>United States</v>
          </cell>
          <cell r="E1722">
            <v>36397.83</v>
          </cell>
        </row>
        <row r="1723">
          <cell r="A1723" t="str">
            <v>United States</v>
          </cell>
          <cell r="E1723">
            <v>8678.17</v>
          </cell>
        </row>
        <row r="1724">
          <cell r="A1724" t="str">
            <v>United States</v>
          </cell>
          <cell r="E1724">
            <v>76723.23</v>
          </cell>
        </row>
        <row r="1725">
          <cell r="A1725" t="str">
            <v>United States</v>
          </cell>
          <cell r="E1725">
            <v>18558.53</v>
          </cell>
        </row>
        <row r="1726">
          <cell r="A1726" t="str">
            <v>United States</v>
          </cell>
          <cell r="E1726">
            <v>36041.33</v>
          </cell>
        </row>
        <row r="1727">
          <cell r="A1727" t="str">
            <v>United States</v>
          </cell>
          <cell r="E1727">
            <v>8579.7199999999993</v>
          </cell>
        </row>
        <row r="1728">
          <cell r="A1728" t="str">
            <v>United States</v>
          </cell>
          <cell r="E1728">
            <v>74842.86</v>
          </cell>
        </row>
        <row r="1729">
          <cell r="A1729" t="str">
            <v>United States</v>
          </cell>
          <cell r="E1729">
            <v>18075.23</v>
          </cell>
        </row>
        <row r="1730">
          <cell r="A1730" t="str">
            <v>United States</v>
          </cell>
          <cell r="E1730">
            <v>32082.06</v>
          </cell>
        </row>
        <row r="1731">
          <cell r="A1731" t="str">
            <v>United States</v>
          </cell>
          <cell r="E1731">
            <v>7636.9</v>
          </cell>
        </row>
        <row r="1732">
          <cell r="A1732" t="str">
            <v>United States</v>
          </cell>
          <cell r="E1732">
            <v>68731.89</v>
          </cell>
        </row>
        <row r="1733">
          <cell r="A1733" t="str">
            <v>United States</v>
          </cell>
          <cell r="E1733">
            <v>16667.37</v>
          </cell>
        </row>
        <row r="1734">
          <cell r="A1734" t="str">
            <v>United States</v>
          </cell>
          <cell r="E1734">
            <v>28211.79</v>
          </cell>
        </row>
        <row r="1735">
          <cell r="A1735" t="str">
            <v>United States</v>
          </cell>
          <cell r="E1735">
            <v>6713.23</v>
          </cell>
        </row>
        <row r="1736">
          <cell r="A1736" t="str">
            <v>United States</v>
          </cell>
          <cell r="E1736">
            <v>63454.17</v>
          </cell>
        </row>
        <row r="1737">
          <cell r="A1737" t="str">
            <v>United States</v>
          </cell>
          <cell r="E1737">
            <v>15449.32</v>
          </cell>
        </row>
        <row r="1738">
          <cell r="A1738" t="str">
            <v>United States</v>
          </cell>
          <cell r="E1738">
            <v>30396.5</v>
          </cell>
        </row>
        <row r="1739">
          <cell r="A1739" t="str">
            <v>United States</v>
          </cell>
          <cell r="E1739">
            <v>7227.8</v>
          </cell>
        </row>
        <row r="1740">
          <cell r="A1740" t="str">
            <v>United States</v>
          </cell>
          <cell r="E1740">
            <v>71739.570000000007</v>
          </cell>
        </row>
        <row r="1741">
          <cell r="A1741" t="str">
            <v>United States</v>
          </cell>
          <cell r="E1741">
            <v>17536.310000000001</v>
          </cell>
        </row>
        <row r="1742">
          <cell r="A1742" t="str">
            <v>Uruguay</v>
          </cell>
          <cell r="E1742">
            <v>77.209999999999994</v>
          </cell>
        </row>
        <row r="1743">
          <cell r="A1743" t="str">
            <v>Uruguay</v>
          </cell>
          <cell r="E1743">
            <v>12.18</v>
          </cell>
        </row>
        <row r="1744">
          <cell r="A1744" t="str">
            <v>Uruguay</v>
          </cell>
          <cell r="E1744">
            <v>350.4</v>
          </cell>
        </row>
        <row r="1745">
          <cell r="A1745" t="str">
            <v>Uruguay</v>
          </cell>
          <cell r="E1745">
            <v>55.29</v>
          </cell>
        </row>
        <row r="1746">
          <cell r="A1746" t="str">
            <v>Uruguay</v>
          </cell>
          <cell r="E1746">
            <v>84.07</v>
          </cell>
        </row>
        <row r="1747">
          <cell r="A1747" t="str">
            <v>Uruguay</v>
          </cell>
          <cell r="E1747">
            <v>13.24</v>
          </cell>
        </row>
        <row r="1748">
          <cell r="A1748" t="str">
            <v>Uruguay</v>
          </cell>
          <cell r="E1748">
            <v>381.96</v>
          </cell>
        </row>
        <row r="1749">
          <cell r="A1749" t="str">
            <v>Uruguay</v>
          </cell>
          <cell r="E1749">
            <v>60.19</v>
          </cell>
        </row>
        <row r="1750">
          <cell r="A1750" t="str">
            <v>Uruguay</v>
          </cell>
          <cell r="E1750">
            <v>85.76</v>
          </cell>
        </row>
        <row r="1751">
          <cell r="A1751" t="str">
            <v>Uruguay</v>
          </cell>
          <cell r="E1751">
            <v>13.51</v>
          </cell>
        </row>
        <row r="1752">
          <cell r="A1752" t="str">
            <v>Uruguay</v>
          </cell>
          <cell r="E1752">
            <v>383.58</v>
          </cell>
        </row>
        <row r="1753">
          <cell r="A1753" t="str">
            <v>Uruguay</v>
          </cell>
          <cell r="E1753">
            <v>60.42</v>
          </cell>
        </row>
        <row r="1754">
          <cell r="A1754" t="str">
            <v>Uruguay</v>
          </cell>
          <cell r="E1754">
            <v>95.56</v>
          </cell>
        </row>
        <row r="1755">
          <cell r="A1755" t="str">
            <v>Uruguay</v>
          </cell>
          <cell r="E1755">
            <v>15.15</v>
          </cell>
        </row>
        <row r="1756">
          <cell r="A1756" t="str">
            <v>Uruguay</v>
          </cell>
          <cell r="E1756">
            <v>424.35</v>
          </cell>
        </row>
        <row r="1757">
          <cell r="A1757" t="str">
            <v>Uruguay</v>
          </cell>
          <cell r="E1757">
            <v>67.28</v>
          </cell>
        </row>
        <row r="1758">
          <cell r="A1758" t="str">
            <v>Uruguay</v>
          </cell>
          <cell r="E1758">
            <v>91.97</v>
          </cell>
        </row>
        <row r="1759">
          <cell r="A1759" t="str">
            <v>Uruguay</v>
          </cell>
          <cell r="E1759">
            <v>14.57</v>
          </cell>
        </row>
        <row r="1760">
          <cell r="A1760" t="str">
            <v>Uruguay</v>
          </cell>
          <cell r="E1760">
            <v>407.38</v>
          </cell>
        </row>
        <row r="1761">
          <cell r="A1761" t="str">
            <v>Uruguay</v>
          </cell>
          <cell r="E1761">
            <v>64.56</v>
          </cell>
        </row>
        <row r="1762">
          <cell r="A1762" t="str">
            <v>Uzbekistan</v>
          </cell>
          <cell r="E1762">
            <v>365.29</v>
          </cell>
        </row>
        <row r="1763">
          <cell r="A1763" t="str">
            <v>Uzbekistan</v>
          </cell>
          <cell r="E1763">
            <v>68.67</v>
          </cell>
        </row>
        <row r="1764">
          <cell r="A1764" t="str">
            <v>Uzbekistan</v>
          </cell>
          <cell r="E1764">
            <v>1266.8900000000001</v>
          </cell>
        </row>
        <row r="1765">
          <cell r="A1765" t="str">
            <v>Uzbekistan</v>
          </cell>
          <cell r="E1765">
            <v>238.18</v>
          </cell>
        </row>
        <row r="1766">
          <cell r="A1766" t="str">
            <v>Uzbekistan</v>
          </cell>
          <cell r="E1766">
            <v>396.58</v>
          </cell>
        </row>
        <row r="1767">
          <cell r="A1767" t="str">
            <v>Uzbekistan</v>
          </cell>
          <cell r="E1767">
            <v>74.55</v>
          </cell>
        </row>
        <row r="1768">
          <cell r="A1768" t="str">
            <v>Uzbekistan</v>
          </cell>
          <cell r="E1768">
            <v>1430.92</v>
          </cell>
        </row>
        <row r="1769">
          <cell r="A1769" t="str">
            <v>Uzbekistan</v>
          </cell>
          <cell r="E1769">
            <v>269.01</v>
          </cell>
        </row>
        <row r="1770">
          <cell r="A1770" t="str">
            <v>Uzbekistan</v>
          </cell>
          <cell r="E1770">
            <v>433.17</v>
          </cell>
        </row>
        <row r="1771">
          <cell r="A1771" t="str">
            <v>Uzbekistan</v>
          </cell>
          <cell r="E1771">
            <v>81.510000000000005</v>
          </cell>
        </row>
        <row r="1772">
          <cell r="A1772" t="str">
            <v>Uzbekistan</v>
          </cell>
          <cell r="E1772">
            <v>1542.17</v>
          </cell>
        </row>
        <row r="1773">
          <cell r="A1773" t="str">
            <v>Uzbekistan</v>
          </cell>
          <cell r="E1773">
            <v>289.08</v>
          </cell>
        </row>
        <row r="1774">
          <cell r="A1774" t="str">
            <v>Uzbekistan</v>
          </cell>
          <cell r="E1774">
            <v>449.09</v>
          </cell>
        </row>
        <row r="1775">
          <cell r="A1775" t="str">
            <v>Uzbekistan</v>
          </cell>
          <cell r="E1775">
            <v>85.15</v>
          </cell>
        </row>
        <row r="1776">
          <cell r="A1776" t="str">
            <v>Uzbekistan</v>
          </cell>
          <cell r="E1776">
            <v>1604.05</v>
          </cell>
        </row>
        <row r="1777">
          <cell r="A1777" t="str">
            <v>Uzbekistan</v>
          </cell>
          <cell r="E1777">
            <v>302.97000000000003</v>
          </cell>
        </row>
        <row r="1778">
          <cell r="A1778" t="str">
            <v>Uzbekistan</v>
          </cell>
          <cell r="E1778">
            <v>468.94</v>
          </cell>
        </row>
        <row r="1779">
          <cell r="A1779" t="str">
            <v>Uzbekistan</v>
          </cell>
          <cell r="E1779">
            <v>89.58</v>
          </cell>
        </row>
        <row r="1780">
          <cell r="A1780" t="str">
            <v>Uzbekistan</v>
          </cell>
          <cell r="E1780">
            <v>1682.5</v>
          </cell>
        </row>
        <row r="1781">
          <cell r="A1781" t="str">
            <v>Uzbekistan</v>
          </cell>
          <cell r="E1781">
            <v>320.19</v>
          </cell>
        </row>
        <row r="1782">
          <cell r="A1782" t="str">
            <v>Vietnam</v>
          </cell>
          <cell r="E1782">
            <v>3671.84</v>
          </cell>
        </row>
        <row r="1783">
          <cell r="A1783" t="str">
            <v>Vietnam</v>
          </cell>
          <cell r="E1783">
            <v>574.78</v>
          </cell>
        </row>
        <row r="1784">
          <cell r="A1784" t="str">
            <v>Vietnam</v>
          </cell>
          <cell r="E1784">
            <v>5857.46</v>
          </cell>
        </row>
        <row r="1785">
          <cell r="A1785" t="str">
            <v>Vietnam</v>
          </cell>
          <cell r="E1785">
            <v>916.94</v>
          </cell>
        </row>
        <row r="1786">
          <cell r="A1786" t="str">
            <v>Vietnam</v>
          </cell>
          <cell r="E1786">
            <v>4162.3100000000004</v>
          </cell>
        </row>
        <row r="1787">
          <cell r="A1787" t="str">
            <v>Vietnam</v>
          </cell>
          <cell r="E1787">
            <v>651.13</v>
          </cell>
        </row>
        <row r="1788">
          <cell r="A1788" t="str">
            <v>Vietnam</v>
          </cell>
          <cell r="E1788">
            <v>6737.2</v>
          </cell>
        </row>
        <row r="1789">
          <cell r="A1789" t="str">
            <v>Vietnam</v>
          </cell>
          <cell r="E1789">
            <v>1054.02</v>
          </cell>
        </row>
        <row r="1790">
          <cell r="A1790" t="str">
            <v>Vietnam</v>
          </cell>
          <cell r="E1790">
            <v>4235.3500000000004</v>
          </cell>
        </row>
        <row r="1791">
          <cell r="A1791" t="str">
            <v>Vietnam</v>
          </cell>
          <cell r="E1791">
            <v>662.41</v>
          </cell>
        </row>
        <row r="1792">
          <cell r="A1792" t="str">
            <v>Vietnam</v>
          </cell>
          <cell r="E1792">
            <v>6915.65</v>
          </cell>
        </row>
        <row r="1793">
          <cell r="A1793" t="str">
            <v>Vietnam</v>
          </cell>
          <cell r="E1793">
            <v>1081.24</v>
          </cell>
        </row>
        <row r="1794">
          <cell r="A1794" t="str">
            <v>Vietnam</v>
          </cell>
          <cell r="E1794">
            <v>4880.55</v>
          </cell>
        </row>
        <row r="1795">
          <cell r="A1795" t="str">
            <v>Vietnam</v>
          </cell>
          <cell r="E1795">
            <v>763.26</v>
          </cell>
        </row>
        <row r="1796">
          <cell r="A1796" t="str">
            <v>Vietnam</v>
          </cell>
          <cell r="E1796">
            <v>8033.2</v>
          </cell>
        </row>
        <row r="1797">
          <cell r="A1797" t="str">
            <v>Vietnam</v>
          </cell>
          <cell r="E1797">
            <v>1255.49</v>
          </cell>
        </row>
        <row r="1798">
          <cell r="A1798" t="str">
            <v>Vietnam</v>
          </cell>
          <cell r="E1798">
            <v>5432.83</v>
          </cell>
        </row>
        <row r="1799">
          <cell r="A1799" t="str">
            <v>Vietnam</v>
          </cell>
          <cell r="E1799">
            <v>852.15</v>
          </cell>
        </row>
        <row r="1800">
          <cell r="A1800" t="str">
            <v>Vietnam</v>
          </cell>
          <cell r="E1800">
            <v>9135.2800000000007</v>
          </cell>
        </row>
        <row r="1801">
          <cell r="A1801" t="str">
            <v>Vietnam</v>
          </cell>
          <cell r="E1801">
            <v>1431.96</v>
          </cell>
        </row>
        <row r="1802">
          <cell r="A1802" t="str">
            <v>Zambia</v>
          </cell>
          <cell r="E1802">
            <v>206.84</v>
          </cell>
        </row>
        <row r="1803">
          <cell r="A1803" t="str">
            <v>Zambia</v>
          </cell>
          <cell r="E1803">
            <v>32.93</v>
          </cell>
        </row>
        <row r="1804">
          <cell r="A1804" t="str">
            <v>Zambia</v>
          </cell>
          <cell r="E1804">
            <v>321.98</v>
          </cell>
        </row>
        <row r="1805">
          <cell r="A1805" t="str">
            <v>Zambia</v>
          </cell>
          <cell r="E1805">
            <v>51.27</v>
          </cell>
        </row>
        <row r="1806">
          <cell r="A1806" t="str">
            <v>Zambia</v>
          </cell>
          <cell r="E1806">
            <v>194.77</v>
          </cell>
        </row>
        <row r="1807">
          <cell r="A1807" t="str">
            <v>Zambia</v>
          </cell>
          <cell r="E1807">
            <v>31</v>
          </cell>
        </row>
        <row r="1808">
          <cell r="A1808" t="str">
            <v>Zambia</v>
          </cell>
          <cell r="E1808">
            <v>296.97000000000003</v>
          </cell>
        </row>
        <row r="1809">
          <cell r="A1809" t="str">
            <v>Zambia</v>
          </cell>
          <cell r="E1809">
            <v>47.27</v>
          </cell>
        </row>
        <row r="1810">
          <cell r="A1810" t="str">
            <v>Zambia</v>
          </cell>
          <cell r="E1810">
            <v>226.06</v>
          </cell>
        </row>
        <row r="1811">
          <cell r="A1811" t="str">
            <v>Zambia</v>
          </cell>
          <cell r="E1811">
            <v>35.99</v>
          </cell>
        </row>
        <row r="1812">
          <cell r="A1812" t="str">
            <v>Zambia</v>
          </cell>
          <cell r="E1812">
            <v>340.56</v>
          </cell>
        </row>
        <row r="1813">
          <cell r="A1813" t="str">
            <v>Zambia</v>
          </cell>
          <cell r="E1813">
            <v>54.22</v>
          </cell>
        </row>
        <row r="1814">
          <cell r="A1814" t="str">
            <v>Zambia</v>
          </cell>
          <cell r="E1814">
            <v>199.43</v>
          </cell>
        </row>
        <row r="1815">
          <cell r="A1815" t="str">
            <v>Zambia</v>
          </cell>
          <cell r="E1815">
            <v>31.75</v>
          </cell>
        </row>
        <row r="1816">
          <cell r="A1816" t="str">
            <v>Zambia</v>
          </cell>
          <cell r="E1816">
            <v>304.58</v>
          </cell>
        </row>
        <row r="1817">
          <cell r="A1817" t="str">
            <v>Zambia</v>
          </cell>
          <cell r="E1817">
            <v>48.49</v>
          </cell>
        </row>
        <row r="1818">
          <cell r="A1818" t="str">
            <v>Zambia</v>
          </cell>
          <cell r="E1818">
            <v>216.62</v>
          </cell>
        </row>
        <row r="1819">
          <cell r="A1819" t="str">
            <v>Zambia</v>
          </cell>
          <cell r="E1819">
            <v>34.479999999999997</v>
          </cell>
        </row>
        <row r="1820">
          <cell r="A1820" t="str">
            <v>Zambia</v>
          </cell>
          <cell r="E1820">
            <v>330.58</v>
          </cell>
        </row>
        <row r="1821">
          <cell r="A1821" t="str">
            <v>Zambia</v>
          </cell>
          <cell r="E1821">
            <v>52.63</v>
          </cell>
        </row>
      </sheetData>
      <sheetData sheetId="17"/>
      <sheetData sheetId="18"/>
      <sheetData sheetId="19">
        <row r="1">
          <cell r="A1" t="str">
            <v>Country</v>
          </cell>
          <cell r="C1" t="str">
            <v>Consumption (Mt)</v>
          </cell>
        </row>
        <row r="2">
          <cell r="A2" t="str">
            <v>Afghanistan</v>
          </cell>
          <cell r="C2">
            <v>2.4790000000000001</v>
          </cell>
        </row>
        <row r="3">
          <cell r="A3" t="str">
            <v>Albania</v>
          </cell>
          <cell r="C3">
            <v>1.788</v>
          </cell>
        </row>
        <row r="4">
          <cell r="A4" t="str">
            <v>Algeria</v>
          </cell>
          <cell r="C4">
            <v>17.622</v>
          </cell>
        </row>
        <row r="5">
          <cell r="A5" t="str">
            <v>Angola</v>
          </cell>
          <cell r="C5">
            <v>2.4630000000000001</v>
          </cell>
        </row>
        <row r="6">
          <cell r="A6" t="str">
            <v>Argentina</v>
          </cell>
          <cell r="C6">
            <v>12.010999999999999</v>
          </cell>
        </row>
        <row r="7">
          <cell r="A7" t="str">
            <v>Armenia</v>
          </cell>
          <cell r="C7">
            <v>0.89700000000000002</v>
          </cell>
        </row>
        <row r="8">
          <cell r="A8" t="str">
            <v>Australia</v>
          </cell>
          <cell r="C8">
            <v>10.17</v>
          </cell>
        </row>
        <row r="9">
          <cell r="A9" t="str">
            <v>Austria</v>
          </cell>
          <cell r="C9">
            <v>6.7</v>
          </cell>
        </row>
        <row r="10">
          <cell r="A10" t="str">
            <v>Azerbaijan</v>
          </cell>
          <cell r="C10">
            <v>3.452</v>
          </cell>
        </row>
        <row r="11">
          <cell r="A11" t="str">
            <v>Bahrain</v>
          </cell>
          <cell r="C11">
            <v>1.448</v>
          </cell>
        </row>
        <row r="12">
          <cell r="A12" t="str">
            <v>Bangladesh</v>
          </cell>
          <cell r="C12">
            <v>38.979999999999997</v>
          </cell>
        </row>
        <row r="13">
          <cell r="A13" t="str">
            <v>Belarus</v>
          </cell>
          <cell r="C13">
            <v>3.339</v>
          </cell>
        </row>
        <row r="14">
          <cell r="A14" t="str">
            <v>Belgium</v>
          </cell>
          <cell r="C14">
            <v>6.8949999999999996</v>
          </cell>
        </row>
        <row r="15">
          <cell r="A15" t="str">
            <v>Belize</v>
          </cell>
          <cell r="C15">
            <v>0.32500000000000001</v>
          </cell>
        </row>
        <row r="16">
          <cell r="A16" t="str">
            <v>Benin</v>
          </cell>
          <cell r="C16">
            <v>2.7469999999999999</v>
          </cell>
        </row>
        <row r="17">
          <cell r="A17" t="str">
            <v>Bhutan</v>
          </cell>
          <cell r="C17">
            <v>0.53300000000000003</v>
          </cell>
        </row>
        <row r="18">
          <cell r="A18" t="str">
            <v>Bolivia</v>
          </cell>
          <cell r="C18">
            <v>3.5779999999999998</v>
          </cell>
        </row>
        <row r="19">
          <cell r="A19" t="str">
            <v>Bosnia Herzegovina</v>
          </cell>
          <cell r="C19">
            <v>1.19</v>
          </cell>
        </row>
        <row r="20">
          <cell r="A20" t="str">
            <v>Botswana</v>
          </cell>
          <cell r="C20">
            <v>0.69</v>
          </cell>
        </row>
        <row r="21">
          <cell r="A21" t="str">
            <v>Brazil</v>
          </cell>
          <cell r="C21">
            <v>64.421000000000006</v>
          </cell>
        </row>
        <row r="22">
          <cell r="A22" t="str">
            <v>Brunei</v>
          </cell>
          <cell r="C22">
            <v>0.318</v>
          </cell>
        </row>
        <row r="23">
          <cell r="A23" t="str">
            <v>Bulgaria</v>
          </cell>
          <cell r="C23">
            <v>2.6930000000000001</v>
          </cell>
        </row>
        <row r="24">
          <cell r="A24" t="str">
            <v>Burkina Faso</v>
          </cell>
          <cell r="C24">
            <v>3.0979999999999999</v>
          </cell>
        </row>
        <row r="25">
          <cell r="A25" t="str">
            <v>Burundi</v>
          </cell>
          <cell r="C25">
            <v>0.25</v>
          </cell>
        </row>
        <row r="26">
          <cell r="A26" t="str">
            <v>Cabo Verde</v>
          </cell>
          <cell r="C26">
            <v>0.24</v>
          </cell>
        </row>
        <row r="27">
          <cell r="A27" t="str">
            <v>Cambodia</v>
          </cell>
          <cell r="C27">
            <v>9.6120000000000001</v>
          </cell>
        </row>
        <row r="28">
          <cell r="A28" t="str">
            <v>Cameroon</v>
          </cell>
          <cell r="C28">
            <v>3.5790000000000002</v>
          </cell>
        </row>
        <row r="29">
          <cell r="A29" t="str">
            <v>Canada</v>
          </cell>
          <cell r="C29">
            <v>10.941000000000001</v>
          </cell>
        </row>
        <row r="30">
          <cell r="A30" t="str">
            <v>Caribbean</v>
          </cell>
          <cell r="C30">
            <v>9.4700000000000006</v>
          </cell>
        </row>
        <row r="31">
          <cell r="A31" t="str">
            <v>Chad</v>
          </cell>
          <cell r="C31">
            <v>1.02</v>
          </cell>
        </row>
        <row r="32">
          <cell r="A32" t="str">
            <v>Chile</v>
          </cell>
          <cell r="C32">
            <v>4.6479999999999997</v>
          </cell>
        </row>
        <row r="33">
          <cell r="A33" t="str">
            <v>China</v>
          </cell>
          <cell r="C33">
            <v>2364.4430000000002</v>
          </cell>
        </row>
        <row r="34">
          <cell r="A34" t="str">
            <v>Colombia</v>
          </cell>
          <cell r="C34">
            <v>13.156000000000001</v>
          </cell>
        </row>
        <row r="35">
          <cell r="A35" t="str">
            <v>Comoros</v>
          </cell>
          <cell r="C35">
            <v>0.23499999999999999</v>
          </cell>
        </row>
        <row r="36">
          <cell r="A36" t="str">
            <v>Congo - Dem. Republic</v>
          </cell>
          <cell r="C36">
            <v>2.2589999999999999</v>
          </cell>
        </row>
        <row r="37">
          <cell r="A37" t="str">
            <v>Congo - Republic</v>
          </cell>
          <cell r="C37">
            <v>0.8</v>
          </cell>
        </row>
        <row r="38">
          <cell r="A38" t="str">
            <v>Costa Rica</v>
          </cell>
          <cell r="C38">
            <v>0.88600000000000001</v>
          </cell>
        </row>
        <row r="39">
          <cell r="A39" t="str">
            <v>Côte d'Ivoire</v>
          </cell>
          <cell r="C39">
            <v>6.1420000000000003</v>
          </cell>
        </row>
        <row r="40">
          <cell r="A40" t="str">
            <v>Croatia</v>
          </cell>
          <cell r="C40">
            <v>1.657</v>
          </cell>
        </row>
        <row r="41">
          <cell r="A41" t="str">
            <v>Cuba</v>
          </cell>
          <cell r="C41">
            <v>0.871</v>
          </cell>
        </row>
        <row r="42">
          <cell r="A42" t="str">
            <v>Cyprus</v>
          </cell>
          <cell r="C42">
            <v>1.23</v>
          </cell>
        </row>
        <row r="43">
          <cell r="A43" t="str">
            <v>Czech Republic</v>
          </cell>
          <cell r="C43">
            <v>4.6849999999999996</v>
          </cell>
        </row>
        <row r="44">
          <cell r="A44" t="str">
            <v>Denmark</v>
          </cell>
          <cell r="C44">
            <v>1.9079999999999999</v>
          </cell>
        </row>
        <row r="45">
          <cell r="A45" t="str">
            <v>Djibouti</v>
          </cell>
          <cell r="C45">
            <v>0.31</v>
          </cell>
        </row>
        <row r="46">
          <cell r="A46" t="str">
            <v>Ecuador</v>
          </cell>
          <cell r="C46">
            <v>5.3120000000000003</v>
          </cell>
        </row>
        <row r="47">
          <cell r="A47" t="str">
            <v>Egypt</v>
          </cell>
          <cell r="C47">
            <v>48.6</v>
          </cell>
        </row>
        <row r="48">
          <cell r="A48" t="str">
            <v>El Salvador</v>
          </cell>
          <cell r="C48">
            <v>1.667</v>
          </cell>
        </row>
        <row r="49">
          <cell r="A49" t="str">
            <v>Equatorial Guinea</v>
          </cell>
          <cell r="C49">
            <v>0.22700000000000001</v>
          </cell>
        </row>
        <row r="50">
          <cell r="A50" t="str">
            <v>Eritrea</v>
          </cell>
          <cell r="C50">
            <v>0.56000000000000005</v>
          </cell>
        </row>
        <row r="51">
          <cell r="A51" t="str">
            <v>Estonia</v>
          </cell>
          <cell r="C51">
            <v>0.44500000000000001</v>
          </cell>
        </row>
        <row r="52">
          <cell r="A52" t="str">
            <v>Eswatini</v>
          </cell>
          <cell r="C52">
            <v>0.30399999999999999</v>
          </cell>
        </row>
        <row r="53">
          <cell r="A53" t="str">
            <v>Ethiopia</v>
          </cell>
          <cell r="C53">
            <v>9.1</v>
          </cell>
        </row>
        <row r="54">
          <cell r="A54" t="str">
            <v>Fiji</v>
          </cell>
          <cell r="C54">
            <v>0.14499999999999999</v>
          </cell>
        </row>
        <row r="55">
          <cell r="A55" t="str">
            <v>Finland</v>
          </cell>
          <cell r="C55">
            <v>1.99</v>
          </cell>
        </row>
        <row r="56">
          <cell r="A56" t="str">
            <v>France</v>
          </cell>
          <cell r="C56">
            <v>20.265000000000001</v>
          </cell>
        </row>
        <row r="57">
          <cell r="A57" t="str">
            <v>Gabon</v>
          </cell>
          <cell r="C57">
            <v>0.438</v>
          </cell>
        </row>
        <row r="58">
          <cell r="A58" t="str">
            <v>Gambia</v>
          </cell>
          <cell r="C58">
            <v>0.751</v>
          </cell>
        </row>
        <row r="59">
          <cell r="A59" t="str">
            <v>Georgia</v>
          </cell>
          <cell r="C59">
            <v>2.8919999999999999</v>
          </cell>
        </row>
        <row r="60">
          <cell r="A60" t="str">
            <v>Germany</v>
          </cell>
          <cell r="C60">
            <v>29.167000000000002</v>
          </cell>
        </row>
        <row r="61">
          <cell r="A61" t="str">
            <v>Ghana</v>
          </cell>
          <cell r="C61">
            <v>7.25</v>
          </cell>
        </row>
        <row r="62">
          <cell r="A62" t="str">
            <v>Greece</v>
          </cell>
          <cell r="C62">
            <v>2.9239999999999999</v>
          </cell>
        </row>
        <row r="63">
          <cell r="A63" t="str">
            <v>Guatemala</v>
          </cell>
          <cell r="C63">
            <v>4.91</v>
          </cell>
        </row>
        <row r="64">
          <cell r="A64" t="str">
            <v>Guinea</v>
          </cell>
          <cell r="C64">
            <v>1.891</v>
          </cell>
        </row>
        <row r="65">
          <cell r="A65" t="str">
            <v>Guinea-Bissau</v>
          </cell>
          <cell r="C65">
            <v>9.9000000000000005E-2</v>
          </cell>
        </row>
        <row r="66">
          <cell r="A66" t="str">
            <v>Honduras</v>
          </cell>
          <cell r="C66">
            <v>2.012</v>
          </cell>
        </row>
        <row r="67">
          <cell r="A67" t="str">
            <v>Hong Kong</v>
          </cell>
          <cell r="C67">
            <v>5.1589999999999998</v>
          </cell>
        </row>
        <row r="68">
          <cell r="A68" t="str">
            <v>Hungary</v>
          </cell>
          <cell r="C68">
            <v>3.6949999999999998</v>
          </cell>
        </row>
        <row r="69">
          <cell r="A69" t="str">
            <v>Iceland</v>
          </cell>
          <cell r="C69">
            <v>0.14299999999999999</v>
          </cell>
        </row>
        <row r="70">
          <cell r="A70" t="str">
            <v>India</v>
          </cell>
          <cell r="C70">
            <v>351.084</v>
          </cell>
        </row>
        <row r="71">
          <cell r="A71" t="str">
            <v>Indonesia</v>
          </cell>
          <cell r="C71">
            <v>66.215000000000003</v>
          </cell>
        </row>
        <row r="72">
          <cell r="A72" t="str">
            <v>Iran</v>
          </cell>
          <cell r="C72">
            <v>59.87</v>
          </cell>
        </row>
        <row r="73">
          <cell r="A73" t="str">
            <v>Iraq</v>
          </cell>
          <cell r="C73">
            <v>31.690999999999999</v>
          </cell>
        </row>
        <row r="74">
          <cell r="A74" t="str">
            <v>Ireland</v>
          </cell>
          <cell r="C74">
            <v>2.375</v>
          </cell>
        </row>
        <row r="75">
          <cell r="A75" t="str">
            <v>Israel</v>
          </cell>
          <cell r="C75">
            <v>5.4649999999999999</v>
          </cell>
        </row>
        <row r="76">
          <cell r="A76" t="str">
            <v>Italy</v>
          </cell>
          <cell r="C76">
            <v>20.45</v>
          </cell>
        </row>
        <row r="77">
          <cell r="A77" t="str">
            <v>Japan</v>
          </cell>
          <cell r="C77">
            <v>38.018999999999998</v>
          </cell>
        </row>
        <row r="78">
          <cell r="A78" t="str">
            <v>Jordan</v>
          </cell>
          <cell r="C78">
            <v>3.25</v>
          </cell>
        </row>
        <row r="79">
          <cell r="A79" t="str">
            <v>Kazakhstan</v>
          </cell>
          <cell r="C79">
            <v>11.778</v>
          </cell>
        </row>
        <row r="80">
          <cell r="A80" t="str">
            <v>Kenya</v>
          </cell>
          <cell r="C80">
            <v>9.0980000000000008</v>
          </cell>
        </row>
        <row r="81">
          <cell r="A81" t="str">
            <v>Kosovo</v>
          </cell>
          <cell r="C81">
            <v>1.365</v>
          </cell>
        </row>
        <row r="82">
          <cell r="A82" t="str">
            <v>Kuwait</v>
          </cell>
          <cell r="C82">
            <v>5.34</v>
          </cell>
        </row>
        <row r="83">
          <cell r="A83" t="str">
            <v>Kyrgyz Republic</v>
          </cell>
          <cell r="C83">
            <v>2.0249999999999999</v>
          </cell>
        </row>
        <row r="84">
          <cell r="A84" t="str">
            <v>Laos</v>
          </cell>
          <cell r="C84">
            <v>4.5620000000000003</v>
          </cell>
        </row>
        <row r="85">
          <cell r="A85" t="str">
            <v>Latvia</v>
          </cell>
          <cell r="C85">
            <v>0.53200000000000003</v>
          </cell>
        </row>
        <row r="86">
          <cell r="A86" t="str">
            <v>Lebanon</v>
          </cell>
          <cell r="C86">
            <v>1.9510000000000001</v>
          </cell>
        </row>
        <row r="87">
          <cell r="A87" t="str">
            <v>Lesotho</v>
          </cell>
          <cell r="C87">
            <v>0.22</v>
          </cell>
        </row>
        <row r="88">
          <cell r="A88" t="str">
            <v>Liberia</v>
          </cell>
          <cell r="C88">
            <v>0.75</v>
          </cell>
        </row>
        <row r="89">
          <cell r="A89" t="str">
            <v>Libya</v>
          </cell>
          <cell r="C89">
            <v>8</v>
          </cell>
        </row>
        <row r="90">
          <cell r="A90" t="str">
            <v>Lithuania</v>
          </cell>
          <cell r="C90">
            <v>1.1339999999999999</v>
          </cell>
        </row>
        <row r="91">
          <cell r="A91" t="str">
            <v>Luxembourg</v>
          </cell>
          <cell r="C91">
            <v>0.61899999999999999</v>
          </cell>
        </row>
        <row r="92">
          <cell r="A92" t="str">
            <v>Macau</v>
          </cell>
          <cell r="C92">
            <v>0.46899999999999997</v>
          </cell>
        </row>
        <row r="93">
          <cell r="A93" t="str">
            <v>Madagascar</v>
          </cell>
          <cell r="C93">
            <v>1.07</v>
          </cell>
        </row>
        <row r="94">
          <cell r="A94" t="str">
            <v>Malawi</v>
          </cell>
          <cell r="C94">
            <v>0.76500000000000001</v>
          </cell>
        </row>
        <row r="95">
          <cell r="A95" t="str">
            <v>Malaysia</v>
          </cell>
          <cell r="C95">
            <v>17.559000000000001</v>
          </cell>
        </row>
        <row r="96">
          <cell r="A96" t="str">
            <v>Mali</v>
          </cell>
          <cell r="C96">
            <v>3.1219999999999999</v>
          </cell>
        </row>
        <row r="97">
          <cell r="A97" t="str">
            <v>Malta</v>
          </cell>
          <cell r="C97">
            <v>0.52800000000000002</v>
          </cell>
        </row>
        <row r="98">
          <cell r="A98" t="str">
            <v>Mauritania</v>
          </cell>
          <cell r="C98">
            <v>1.514</v>
          </cell>
        </row>
        <row r="99">
          <cell r="A99" t="str">
            <v>Mauritius</v>
          </cell>
          <cell r="C99">
            <v>0.68300000000000005</v>
          </cell>
        </row>
        <row r="100">
          <cell r="A100" t="str">
            <v>Mexico</v>
          </cell>
          <cell r="C100">
            <v>43.491</v>
          </cell>
        </row>
        <row r="101">
          <cell r="A101" t="str">
            <v>Moldova</v>
          </cell>
          <cell r="C101">
            <v>1.03</v>
          </cell>
        </row>
        <row r="102">
          <cell r="A102" t="str">
            <v>Mongolia</v>
          </cell>
          <cell r="C102">
            <v>1.3080000000000001</v>
          </cell>
        </row>
        <row r="103">
          <cell r="A103" t="str">
            <v>Montenegro</v>
          </cell>
          <cell r="C103">
            <v>0.26900000000000002</v>
          </cell>
        </row>
        <row r="104">
          <cell r="A104" t="str">
            <v>Morocco</v>
          </cell>
          <cell r="C104">
            <v>13.975</v>
          </cell>
        </row>
        <row r="105">
          <cell r="A105" t="str">
            <v>Mozambique</v>
          </cell>
          <cell r="C105">
            <v>2.65</v>
          </cell>
        </row>
        <row r="106">
          <cell r="A106" t="str">
            <v>Myanmar</v>
          </cell>
          <cell r="C106">
            <v>8.25</v>
          </cell>
        </row>
        <row r="107">
          <cell r="A107" t="str">
            <v>Namibia</v>
          </cell>
          <cell r="C107">
            <v>0.5</v>
          </cell>
        </row>
        <row r="108">
          <cell r="A108" t="str">
            <v>Nepal</v>
          </cell>
          <cell r="C108">
            <v>9.0500000000000007</v>
          </cell>
        </row>
        <row r="109">
          <cell r="A109" t="str">
            <v>Netherlands</v>
          </cell>
          <cell r="C109">
            <v>5</v>
          </cell>
        </row>
        <row r="110">
          <cell r="A110" t="str">
            <v>New Zealand</v>
          </cell>
          <cell r="C110">
            <v>1.6</v>
          </cell>
        </row>
        <row r="111">
          <cell r="A111" t="str">
            <v>Nicaragua</v>
          </cell>
          <cell r="C111">
            <v>0.94</v>
          </cell>
        </row>
        <row r="112">
          <cell r="A112" t="str">
            <v>Niger</v>
          </cell>
          <cell r="C112">
            <v>0.98</v>
          </cell>
        </row>
        <row r="113">
          <cell r="A113" t="str">
            <v>Nigeria</v>
          </cell>
          <cell r="C113">
            <v>29.25</v>
          </cell>
        </row>
        <row r="114">
          <cell r="A114" t="str">
            <v>North Korea</v>
          </cell>
          <cell r="C114">
            <v>6.0149999999999997</v>
          </cell>
        </row>
        <row r="115">
          <cell r="A115" t="str">
            <v>North Macedonia</v>
          </cell>
          <cell r="C115">
            <v>0.88900000000000001</v>
          </cell>
        </row>
        <row r="116">
          <cell r="A116" t="str">
            <v>Norway</v>
          </cell>
          <cell r="C116">
            <v>2.032</v>
          </cell>
        </row>
        <row r="117">
          <cell r="A117" t="str">
            <v>Oman</v>
          </cell>
          <cell r="C117">
            <v>6.3129999999999997</v>
          </cell>
        </row>
        <row r="118">
          <cell r="A118" t="str">
            <v>Pakistan</v>
          </cell>
          <cell r="C118">
            <v>48.917999999999999</v>
          </cell>
        </row>
        <row r="119">
          <cell r="A119" t="str">
            <v>Palestine</v>
          </cell>
          <cell r="C119">
            <v>2.3029999999999999</v>
          </cell>
        </row>
        <row r="120">
          <cell r="A120" t="str">
            <v>Panama</v>
          </cell>
          <cell r="C120">
            <v>1.143</v>
          </cell>
        </row>
        <row r="121">
          <cell r="A121" t="str">
            <v>Papua New Guinea</v>
          </cell>
          <cell r="C121">
            <v>0.35</v>
          </cell>
        </row>
        <row r="122">
          <cell r="A122" t="str">
            <v>Paraguay</v>
          </cell>
          <cell r="C122">
            <v>1.7669999999999999</v>
          </cell>
        </row>
        <row r="123">
          <cell r="A123" t="str">
            <v>Peru</v>
          </cell>
          <cell r="C123">
            <v>13.506</v>
          </cell>
        </row>
        <row r="124">
          <cell r="A124" t="str">
            <v>Philippines</v>
          </cell>
          <cell r="C124">
            <v>33.6</v>
          </cell>
        </row>
        <row r="125">
          <cell r="A125" t="str">
            <v>Poland</v>
          </cell>
          <cell r="C125">
            <v>19.36</v>
          </cell>
        </row>
        <row r="126">
          <cell r="A126" t="str">
            <v>Portugal</v>
          </cell>
          <cell r="C126">
            <v>4.3940000000000001</v>
          </cell>
        </row>
        <row r="127">
          <cell r="A127" t="str">
            <v>Puerto Rico</v>
          </cell>
          <cell r="C127">
            <v>0.71699999999999997</v>
          </cell>
        </row>
        <row r="128">
          <cell r="A128" t="str">
            <v>Qatar</v>
          </cell>
          <cell r="C128">
            <v>5.4</v>
          </cell>
        </row>
        <row r="129">
          <cell r="A129" t="str">
            <v>Reunion</v>
          </cell>
          <cell r="C129">
            <v>0.40799999999999997</v>
          </cell>
        </row>
        <row r="130">
          <cell r="A130" t="str">
            <v>Romania</v>
          </cell>
          <cell r="C130">
            <v>11.35</v>
          </cell>
        </row>
        <row r="131">
          <cell r="A131" t="str">
            <v>Russia</v>
          </cell>
          <cell r="C131">
            <v>60.758000000000003</v>
          </cell>
        </row>
        <row r="132">
          <cell r="A132" t="str">
            <v>Rwanda</v>
          </cell>
          <cell r="C132">
            <v>0.85</v>
          </cell>
        </row>
        <row r="133">
          <cell r="A133" t="str">
            <v>Saudi Arabia</v>
          </cell>
          <cell r="C133">
            <v>51.941000000000003</v>
          </cell>
        </row>
        <row r="134">
          <cell r="A134" t="str">
            <v>Senegal</v>
          </cell>
          <cell r="C134">
            <v>6.3159999999999998</v>
          </cell>
        </row>
        <row r="135">
          <cell r="A135" t="str">
            <v>Serbia</v>
          </cell>
          <cell r="C135">
            <v>3</v>
          </cell>
        </row>
        <row r="136">
          <cell r="A136" t="str">
            <v>Seychelles</v>
          </cell>
          <cell r="C136">
            <v>6.0999999999999999E-2</v>
          </cell>
        </row>
        <row r="137">
          <cell r="A137" t="str">
            <v>Sierra Leone</v>
          </cell>
          <cell r="C137">
            <v>0.95299999999999996</v>
          </cell>
        </row>
        <row r="138">
          <cell r="A138" t="str">
            <v>Singapore</v>
          </cell>
          <cell r="C138">
            <v>4.4800000000000004</v>
          </cell>
        </row>
        <row r="139">
          <cell r="A139" t="str">
            <v>Slovakia</v>
          </cell>
          <cell r="C139">
            <v>2.2669999999999999</v>
          </cell>
        </row>
        <row r="140">
          <cell r="A140" t="str">
            <v>Slovenia</v>
          </cell>
          <cell r="C140">
            <v>1.161</v>
          </cell>
        </row>
        <row r="141">
          <cell r="A141" t="str">
            <v>Somalia</v>
          </cell>
          <cell r="C141">
            <v>0.745</v>
          </cell>
        </row>
        <row r="142">
          <cell r="A142" t="str">
            <v>South Africa</v>
          </cell>
          <cell r="C142">
            <v>13.627000000000001</v>
          </cell>
        </row>
        <row r="143">
          <cell r="A143" t="str">
            <v>South Korea</v>
          </cell>
          <cell r="C143">
            <v>49.363999999999997</v>
          </cell>
        </row>
        <row r="144">
          <cell r="A144" t="str">
            <v>South Sudan</v>
          </cell>
          <cell r="C144">
            <v>1.18</v>
          </cell>
        </row>
        <row r="145">
          <cell r="A145" t="str">
            <v>Spain</v>
          </cell>
          <cell r="C145">
            <v>15.032</v>
          </cell>
        </row>
        <row r="146">
          <cell r="A146" t="str">
            <v>Sri Lanka</v>
          </cell>
          <cell r="C146">
            <v>7.1269999999999998</v>
          </cell>
        </row>
        <row r="147">
          <cell r="A147" t="str">
            <v>Sudan</v>
          </cell>
          <cell r="C147">
            <v>4.38</v>
          </cell>
        </row>
        <row r="148">
          <cell r="A148" t="str">
            <v>Suriname</v>
          </cell>
          <cell r="C148">
            <v>0.13800000000000001</v>
          </cell>
        </row>
        <row r="149">
          <cell r="A149" t="str">
            <v>Sweden</v>
          </cell>
          <cell r="C149">
            <v>2.99</v>
          </cell>
        </row>
        <row r="150">
          <cell r="A150" t="str">
            <v>Switzerland</v>
          </cell>
          <cell r="C150">
            <v>4.6449999999999996</v>
          </cell>
        </row>
        <row r="151">
          <cell r="A151" t="str">
            <v>Syria</v>
          </cell>
          <cell r="C151">
            <v>4.6500000000000004</v>
          </cell>
        </row>
        <row r="152">
          <cell r="A152" t="str">
            <v>Taiwan</v>
          </cell>
          <cell r="C152">
            <v>10.653</v>
          </cell>
        </row>
        <row r="153">
          <cell r="A153" t="str">
            <v>Tajikistan</v>
          </cell>
          <cell r="C153">
            <v>2.9820000000000002</v>
          </cell>
        </row>
        <row r="154">
          <cell r="A154" t="str">
            <v>Tanzania</v>
          </cell>
          <cell r="C154">
            <v>6.5910000000000002</v>
          </cell>
        </row>
        <row r="155">
          <cell r="A155" t="str">
            <v>Thailand</v>
          </cell>
          <cell r="C155">
            <v>27.324000000000002</v>
          </cell>
        </row>
        <row r="156">
          <cell r="A156" t="str">
            <v>Timor-Leste</v>
          </cell>
          <cell r="C156">
            <v>0.29799999999999999</v>
          </cell>
        </row>
        <row r="157">
          <cell r="A157" t="str">
            <v>Togo</v>
          </cell>
          <cell r="C157">
            <v>2.15</v>
          </cell>
        </row>
        <row r="158">
          <cell r="A158" t="str">
            <v>Trinidad and Tobago</v>
          </cell>
        </row>
        <row r="159">
          <cell r="A159" t="str">
            <v>Tunisia</v>
          </cell>
          <cell r="C159">
            <v>6.2210000000000001</v>
          </cell>
        </row>
        <row r="160">
          <cell r="A160" t="str">
            <v>Turkey</v>
          </cell>
          <cell r="C160">
            <v>62.7</v>
          </cell>
        </row>
        <row r="161">
          <cell r="A161" t="str">
            <v>Turkmenistan</v>
          </cell>
          <cell r="C161">
            <v>2.5419999999999998</v>
          </cell>
        </row>
        <row r="162">
          <cell r="A162" t="str">
            <v>United Arab Emirates</v>
          </cell>
          <cell r="C162">
            <v>10.7</v>
          </cell>
        </row>
        <row r="163">
          <cell r="A163" t="str">
            <v>Uganda</v>
          </cell>
          <cell r="C163">
            <v>3.9969999999999999</v>
          </cell>
        </row>
        <row r="164">
          <cell r="A164" t="str">
            <v>Ukraine</v>
          </cell>
          <cell r="C164">
            <v>10.612</v>
          </cell>
        </row>
        <row r="165">
          <cell r="A165" t="str">
            <v>United Kingdom</v>
          </cell>
          <cell r="C165">
            <v>12.367000000000001</v>
          </cell>
        </row>
        <row r="166">
          <cell r="A166" t="str">
            <v>United States</v>
          </cell>
          <cell r="C166">
            <v>108.532</v>
          </cell>
        </row>
        <row r="167">
          <cell r="A167" t="str">
            <v>Uruguay</v>
          </cell>
          <cell r="C167">
            <v>0.872</v>
          </cell>
        </row>
        <row r="168">
          <cell r="A168" t="str">
            <v>Uzbekistan</v>
          </cell>
          <cell r="C168">
            <v>14.387</v>
          </cell>
        </row>
        <row r="169">
          <cell r="A169" t="str">
            <v>Venezuela</v>
          </cell>
          <cell r="C169">
            <v>1.1499999999999999</v>
          </cell>
        </row>
        <row r="170">
          <cell r="A170" t="str">
            <v>Vietnam</v>
          </cell>
          <cell r="C170">
            <v>62.707000000000001</v>
          </cell>
        </row>
        <row r="171">
          <cell r="A171" t="str">
            <v>Yemen</v>
          </cell>
          <cell r="C171">
            <v>1.94</v>
          </cell>
        </row>
        <row r="172">
          <cell r="A172" t="str">
            <v>Yugoslavia</v>
          </cell>
        </row>
        <row r="173">
          <cell r="A173" t="str">
            <v>Zambia</v>
          </cell>
          <cell r="C173">
            <v>2.2000000000000002</v>
          </cell>
        </row>
        <row r="174">
          <cell r="A174" t="str">
            <v>Zimbabwe</v>
          </cell>
          <cell r="C174">
            <v>1.5</v>
          </cell>
        </row>
        <row r="175">
          <cell r="A175" t="str">
            <v>Afghanistan</v>
          </cell>
          <cell r="C175">
            <v>2.15</v>
          </cell>
        </row>
        <row r="176">
          <cell r="A176" t="str">
            <v>Albania</v>
          </cell>
          <cell r="C176">
            <v>1.895</v>
          </cell>
        </row>
        <row r="177">
          <cell r="A177" t="str">
            <v>Algeria</v>
          </cell>
          <cell r="C177">
            <v>17.305</v>
          </cell>
        </row>
        <row r="178">
          <cell r="A178" t="str">
            <v>Angola</v>
          </cell>
          <cell r="C178">
            <v>3.202</v>
          </cell>
        </row>
        <row r="179">
          <cell r="A179" t="str">
            <v>Argentina</v>
          </cell>
          <cell r="C179">
            <v>12.888999999999999</v>
          </cell>
        </row>
        <row r="180">
          <cell r="A180" t="str">
            <v>Armenia</v>
          </cell>
          <cell r="C180">
            <v>1.0069999999999999</v>
          </cell>
        </row>
        <row r="181">
          <cell r="A181" t="str">
            <v>Australia</v>
          </cell>
          <cell r="C181">
            <v>11.035</v>
          </cell>
        </row>
        <row r="182">
          <cell r="A182" t="str">
            <v>Austria</v>
          </cell>
          <cell r="C182">
            <v>6.65</v>
          </cell>
        </row>
        <row r="183">
          <cell r="A183" t="str">
            <v>Azerbaijan</v>
          </cell>
          <cell r="C183">
            <v>3.53</v>
          </cell>
        </row>
        <row r="184">
          <cell r="A184" t="str">
            <v>Bahrain</v>
          </cell>
          <cell r="C184">
            <v>1.4990000000000001</v>
          </cell>
        </row>
        <row r="185">
          <cell r="A185" t="str">
            <v>Bangladesh</v>
          </cell>
          <cell r="C185">
            <v>38.43</v>
          </cell>
        </row>
        <row r="186">
          <cell r="A186" t="str">
            <v>Belarus</v>
          </cell>
          <cell r="C186">
            <v>3.4449999999999998</v>
          </cell>
        </row>
        <row r="187">
          <cell r="A187" t="str">
            <v>Belgium</v>
          </cell>
          <cell r="C187">
            <v>7.06</v>
          </cell>
        </row>
        <row r="188">
          <cell r="A188" t="str">
            <v>Belize</v>
          </cell>
          <cell r="C188">
            <v>0.34300000000000003</v>
          </cell>
        </row>
        <row r="189">
          <cell r="A189" t="str">
            <v>Benin</v>
          </cell>
          <cell r="C189">
            <v>2.75</v>
          </cell>
        </row>
        <row r="190">
          <cell r="A190" t="str">
            <v>Bhutan</v>
          </cell>
          <cell r="C190">
            <v>0.56999999999999995</v>
          </cell>
        </row>
        <row r="191">
          <cell r="A191" t="str">
            <v>Bolivia</v>
          </cell>
          <cell r="C191">
            <v>3.85</v>
          </cell>
        </row>
        <row r="192">
          <cell r="A192" t="str">
            <v>Bosnia Herzegovina</v>
          </cell>
          <cell r="C192">
            <v>1.2150000000000001</v>
          </cell>
        </row>
        <row r="193">
          <cell r="A193" t="str">
            <v>Botswana</v>
          </cell>
          <cell r="C193">
            <v>0.67500000000000004</v>
          </cell>
        </row>
        <row r="194">
          <cell r="A194" t="str">
            <v>Brazil</v>
          </cell>
          <cell r="C194">
            <v>62.768999999999998</v>
          </cell>
        </row>
        <row r="195">
          <cell r="A195" t="str">
            <v>Brunei</v>
          </cell>
          <cell r="C195">
            <v>0.35699999999999998</v>
          </cell>
        </row>
        <row r="196">
          <cell r="A196" t="str">
            <v>Bulgaria</v>
          </cell>
          <cell r="C196">
            <v>2.7</v>
          </cell>
        </row>
        <row r="197">
          <cell r="A197" t="str">
            <v>Burkina Faso</v>
          </cell>
          <cell r="C197">
            <v>3.1949999999999998</v>
          </cell>
        </row>
        <row r="198">
          <cell r="A198" t="str">
            <v>Burundi</v>
          </cell>
          <cell r="C198">
            <v>0.27</v>
          </cell>
        </row>
        <row r="199">
          <cell r="A199" t="str">
            <v>Cabo Verde</v>
          </cell>
          <cell r="C199">
            <v>0.247</v>
          </cell>
        </row>
        <row r="200">
          <cell r="A200" t="str">
            <v>Cambodia</v>
          </cell>
          <cell r="C200">
            <v>9.0370000000000008</v>
          </cell>
        </row>
        <row r="201">
          <cell r="A201" t="str">
            <v>Cameroon</v>
          </cell>
          <cell r="C201">
            <v>4.1310000000000002</v>
          </cell>
        </row>
        <row r="202">
          <cell r="A202" t="str">
            <v>Canada</v>
          </cell>
          <cell r="C202">
            <v>11.102</v>
          </cell>
        </row>
        <row r="203">
          <cell r="A203" t="str">
            <v>Caribbean</v>
          </cell>
          <cell r="C203">
            <v>9.5790000000000006</v>
          </cell>
        </row>
        <row r="204">
          <cell r="A204" t="str">
            <v>Chad</v>
          </cell>
          <cell r="C204">
            <v>1.04</v>
          </cell>
        </row>
        <row r="205">
          <cell r="A205" t="str">
            <v>Chile</v>
          </cell>
          <cell r="C205">
            <v>4.04</v>
          </cell>
        </row>
        <row r="206">
          <cell r="A206" t="str">
            <v>China</v>
          </cell>
          <cell r="C206">
            <v>2118.5720000000001</v>
          </cell>
        </row>
        <row r="207">
          <cell r="A207" t="str">
            <v>Colombia</v>
          </cell>
          <cell r="C207">
            <v>13.904999999999999</v>
          </cell>
        </row>
        <row r="208">
          <cell r="A208" t="str">
            <v>Comoros</v>
          </cell>
          <cell r="C208">
            <v>0.249</v>
          </cell>
        </row>
        <row r="209">
          <cell r="A209" t="str">
            <v>Congo - Dem. Republic</v>
          </cell>
          <cell r="C209">
            <v>2.6219999999999999</v>
          </cell>
        </row>
        <row r="210">
          <cell r="A210" t="str">
            <v>Congo - Republic</v>
          </cell>
          <cell r="C210">
            <v>0.70499999999999996</v>
          </cell>
        </row>
        <row r="211">
          <cell r="A211" t="str">
            <v>Costa Rica</v>
          </cell>
          <cell r="C211">
            <v>0.96899999999999997</v>
          </cell>
        </row>
        <row r="212">
          <cell r="A212" t="str">
            <v>Côte d'Ivoire</v>
          </cell>
          <cell r="C212">
            <v>6.4619999999999997</v>
          </cell>
        </row>
        <row r="213">
          <cell r="A213" t="str">
            <v>Croatia</v>
          </cell>
          <cell r="C213">
            <v>1.6850000000000001</v>
          </cell>
        </row>
        <row r="214">
          <cell r="A214" t="str">
            <v>Cuba</v>
          </cell>
          <cell r="C214">
            <v>0.68</v>
          </cell>
        </row>
        <row r="215">
          <cell r="A215" t="str">
            <v>Cyprus</v>
          </cell>
          <cell r="C215">
            <v>1.3149999999999999</v>
          </cell>
        </row>
        <row r="216">
          <cell r="A216" t="str">
            <v>Czech Republic</v>
          </cell>
          <cell r="C216">
            <v>4.8170000000000002</v>
          </cell>
        </row>
        <row r="217">
          <cell r="A217" t="str">
            <v>Denmark</v>
          </cell>
          <cell r="C217">
            <v>1.958</v>
          </cell>
        </row>
        <row r="218">
          <cell r="A218" t="str">
            <v>Djibouti</v>
          </cell>
          <cell r="C218">
            <v>0.32</v>
          </cell>
        </row>
        <row r="219">
          <cell r="A219" t="str">
            <v>Ecuador</v>
          </cell>
          <cell r="C219">
            <v>5.37</v>
          </cell>
        </row>
        <row r="220">
          <cell r="A220" t="str">
            <v>Egypt</v>
          </cell>
          <cell r="C220">
            <v>51.192999999999998</v>
          </cell>
        </row>
        <row r="221">
          <cell r="A221" t="str">
            <v>El Salvador</v>
          </cell>
          <cell r="C221">
            <v>1.7549999999999999</v>
          </cell>
        </row>
        <row r="222">
          <cell r="A222" t="str">
            <v>Equatorial Guinea</v>
          </cell>
          <cell r="C222">
            <v>0.24</v>
          </cell>
        </row>
        <row r="223">
          <cell r="A223" t="str">
            <v>Eritrea</v>
          </cell>
          <cell r="C223">
            <v>0.6</v>
          </cell>
        </row>
        <row r="224">
          <cell r="A224" t="str">
            <v>Estonia</v>
          </cell>
          <cell r="C224">
            <v>0.48</v>
          </cell>
        </row>
        <row r="225">
          <cell r="A225" t="str">
            <v>Eswatini</v>
          </cell>
          <cell r="C225">
            <v>0.251</v>
          </cell>
        </row>
        <row r="226">
          <cell r="A226" t="str">
            <v>Ethiopia</v>
          </cell>
          <cell r="C226">
            <v>9.8000000000000007</v>
          </cell>
        </row>
        <row r="227">
          <cell r="A227" t="str">
            <v>Fiji</v>
          </cell>
          <cell r="C227">
            <v>0.155</v>
          </cell>
        </row>
        <row r="228">
          <cell r="A228" t="str">
            <v>Finland</v>
          </cell>
          <cell r="C228">
            <v>2.0209999999999999</v>
          </cell>
        </row>
        <row r="229">
          <cell r="A229" t="str">
            <v>France</v>
          </cell>
          <cell r="C229">
            <v>19.344999999999999</v>
          </cell>
        </row>
        <row r="230">
          <cell r="A230" t="str">
            <v>Gabon</v>
          </cell>
          <cell r="C230">
            <v>0.55100000000000005</v>
          </cell>
        </row>
        <row r="231">
          <cell r="A231" t="str">
            <v>Gambia</v>
          </cell>
          <cell r="C231">
            <v>0.76700000000000002</v>
          </cell>
        </row>
        <row r="232">
          <cell r="A232" t="str">
            <v>Georgia</v>
          </cell>
          <cell r="C232">
            <v>3.024</v>
          </cell>
        </row>
        <row r="233">
          <cell r="A233" t="str">
            <v>Germany</v>
          </cell>
          <cell r="C233">
            <v>28.030999999999999</v>
          </cell>
        </row>
        <row r="234">
          <cell r="A234" t="str">
            <v>Ghana</v>
          </cell>
          <cell r="C234">
            <v>7.468</v>
          </cell>
        </row>
        <row r="235">
          <cell r="A235" t="str">
            <v>Greece</v>
          </cell>
          <cell r="C235">
            <v>3.35</v>
          </cell>
        </row>
        <row r="236">
          <cell r="A236" t="str">
            <v>Guatemala</v>
          </cell>
          <cell r="C236">
            <v>5.01</v>
          </cell>
        </row>
        <row r="237">
          <cell r="A237" t="str">
            <v>Guinea</v>
          </cell>
          <cell r="C237">
            <v>2.0019999999999998</v>
          </cell>
        </row>
        <row r="238">
          <cell r="A238" t="str">
            <v>Guinea-Bissau</v>
          </cell>
          <cell r="C238">
            <v>0.109</v>
          </cell>
        </row>
        <row r="239">
          <cell r="A239" t="str">
            <v>Honduras</v>
          </cell>
          <cell r="C239">
            <v>1.9950000000000001</v>
          </cell>
        </row>
        <row r="240">
          <cell r="A240" t="str">
            <v>Hong Kong</v>
          </cell>
          <cell r="C240">
            <v>5.24</v>
          </cell>
        </row>
        <row r="241">
          <cell r="A241" t="str">
            <v>Hungary</v>
          </cell>
          <cell r="C241">
            <v>3.75</v>
          </cell>
        </row>
        <row r="242">
          <cell r="A242" t="str">
            <v>Iceland</v>
          </cell>
          <cell r="C242">
            <v>0.2</v>
          </cell>
        </row>
        <row r="243">
          <cell r="A243" t="str">
            <v>India</v>
          </cell>
          <cell r="C243">
            <v>387.33499999999998</v>
          </cell>
        </row>
        <row r="244">
          <cell r="A244" t="str">
            <v>Indonesia</v>
          </cell>
          <cell r="C244">
            <v>63.05</v>
          </cell>
        </row>
        <row r="245">
          <cell r="A245" t="str">
            <v>Iran</v>
          </cell>
          <cell r="C245">
            <v>60.06</v>
          </cell>
        </row>
        <row r="246">
          <cell r="A246" t="str">
            <v>Iraq</v>
          </cell>
          <cell r="C246">
            <v>33.1</v>
          </cell>
        </row>
        <row r="247">
          <cell r="A247" t="str">
            <v>Ireland</v>
          </cell>
          <cell r="C247">
            <v>2.44</v>
          </cell>
        </row>
        <row r="248">
          <cell r="A248" t="str">
            <v>Israel</v>
          </cell>
          <cell r="C248">
            <v>5.92</v>
          </cell>
        </row>
        <row r="249">
          <cell r="A249" t="str">
            <v>Italy</v>
          </cell>
          <cell r="C249">
            <v>19.07</v>
          </cell>
        </row>
        <row r="250">
          <cell r="A250" t="str">
            <v>Japan</v>
          </cell>
          <cell r="C250">
            <v>37.488</v>
          </cell>
        </row>
        <row r="251">
          <cell r="A251" t="str">
            <v>Jordan</v>
          </cell>
          <cell r="C251">
            <v>3.1</v>
          </cell>
        </row>
        <row r="252">
          <cell r="A252" t="str">
            <v>Kazakhstan</v>
          </cell>
          <cell r="C252">
            <v>11.871</v>
          </cell>
        </row>
        <row r="253">
          <cell r="A253" t="str">
            <v>Kenya</v>
          </cell>
          <cell r="C253">
            <v>9.4499999999999993</v>
          </cell>
        </row>
        <row r="254">
          <cell r="A254" t="str">
            <v>Kosovo</v>
          </cell>
          <cell r="C254">
            <v>1.25</v>
          </cell>
        </row>
        <row r="255">
          <cell r="A255" t="str">
            <v>Kuwait</v>
          </cell>
          <cell r="C255">
            <v>5.5</v>
          </cell>
        </row>
        <row r="256">
          <cell r="A256" t="str">
            <v>Kyrgyz Republic</v>
          </cell>
          <cell r="C256">
            <v>2.3650000000000002</v>
          </cell>
        </row>
        <row r="257">
          <cell r="A257" t="str">
            <v>Laos</v>
          </cell>
          <cell r="C257">
            <v>5.9</v>
          </cell>
        </row>
        <row r="258">
          <cell r="A258" t="str">
            <v>Latvia</v>
          </cell>
          <cell r="C258">
            <v>0.51300000000000001</v>
          </cell>
        </row>
        <row r="259">
          <cell r="A259" t="str">
            <v>Lebanon</v>
          </cell>
          <cell r="C259">
            <v>2.1240000000000001</v>
          </cell>
        </row>
        <row r="260">
          <cell r="A260" t="str">
            <v>Lesotho</v>
          </cell>
          <cell r="C260">
            <v>0.23</v>
          </cell>
        </row>
        <row r="261">
          <cell r="A261" t="str">
            <v>Liberia</v>
          </cell>
          <cell r="C261">
            <v>0.7</v>
          </cell>
        </row>
        <row r="262">
          <cell r="A262" t="str">
            <v>Libya</v>
          </cell>
          <cell r="C262">
            <v>9</v>
          </cell>
        </row>
        <row r="263">
          <cell r="A263" t="str">
            <v>Lithuania</v>
          </cell>
          <cell r="C263">
            <v>1.1499999999999999</v>
          </cell>
        </row>
        <row r="264">
          <cell r="A264" t="str">
            <v>Luxembourg</v>
          </cell>
          <cell r="C264">
            <v>0.628</v>
          </cell>
        </row>
        <row r="265">
          <cell r="A265" t="str">
            <v>Macau</v>
          </cell>
          <cell r="C265">
            <v>0.495</v>
          </cell>
        </row>
        <row r="266">
          <cell r="A266" t="str">
            <v>Madagascar</v>
          </cell>
          <cell r="C266">
            <v>1.1200000000000001</v>
          </cell>
        </row>
        <row r="267">
          <cell r="A267" t="str">
            <v>Malawi</v>
          </cell>
          <cell r="C267">
            <v>0.83</v>
          </cell>
        </row>
        <row r="268">
          <cell r="A268" t="str">
            <v>Malaysia</v>
          </cell>
          <cell r="C268">
            <v>18.196999999999999</v>
          </cell>
        </row>
        <row r="269">
          <cell r="A269" t="str">
            <v>Mali</v>
          </cell>
          <cell r="C269">
            <v>3.2509999999999999</v>
          </cell>
        </row>
        <row r="270">
          <cell r="A270" t="str">
            <v>Malta</v>
          </cell>
          <cell r="C270">
            <v>0.51100000000000001</v>
          </cell>
        </row>
        <row r="271">
          <cell r="A271" t="str">
            <v>Mauritania</v>
          </cell>
          <cell r="C271">
            <v>1.71</v>
          </cell>
        </row>
        <row r="272">
          <cell r="A272" t="str">
            <v>Mauritius</v>
          </cell>
          <cell r="C272">
            <v>0.78700000000000003</v>
          </cell>
        </row>
        <row r="273">
          <cell r="A273" t="str">
            <v>Mexico</v>
          </cell>
          <cell r="C273">
            <v>41.570999999999998</v>
          </cell>
        </row>
        <row r="274">
          <cell r="A274" t="str">
            <v>Moldova</v>
          </cell>
          <cell r="C274">
            <v>1.03</v>
          </cell>
        </row>
        <row r="275">
          <cell r="A275" t="str">
            <v>Mongolia</v>
          </cell>
          <cell r="C275">
            <v>1.3620000000000001</v>
          </cell>
        </row>
        <row r="276">
          <cell r="A276" t="str">
            <v>Montenegro</v>
          </cell>
          <cell r="C276">
            <v>0.311</v>
          </cell>
        </row>
        <row r="277">
          <cell r="A277" t="str">
            <v>Morocco</v>
          </cell>
          <cell r="C277">
            <v>12.487</v>
          </cell>
        </row>
        <row r="278">
          <cell r="A278" t="str">
            <v>Mozambique</v>
          </cell>
          <cell r="C278">
            <v>2.75</v>
          </cell>
        </row>
        <row r="279">
          <cell r="A279" t="str">
            <v>Myanmar</v>
          </cell>
          <cell r="C279">
            <v>8</v>
          </cell>
        </row>
        <row r="280">
          <cell r="A280" t="str">
            <v>Namibia</v>
          </cell>
          <cell r="C280">
            <v>0.52</v>
          </cell>
        </row>
        <row r="281">
          <cell r="A281" t="str">
            <v>Nepal</v>
          </cell>
          <cell r="C281">
            <v>8</v>
          </cell>
        </row>
        <row r="282">
          <cell r="A282" t="str">
            <v>Netherlands</v>
          </cell>
          <cell r="C282">
            <v>5.2</v>
          </cell>
        </row>
        <row r="283">
          <cell r="A283" t="str">
            <v>New Zealand</v>
          </cell>
          <cell r="C283">
            <v>1.665</v>
          </cell>
        </row>
        <row r="284">
          <cell r="A284" t="str">
            <v>Nicaragua</v>
          </cell>
          <cell r="C284">
            <v>0.89</v>
          </cell>
        </row>
        <row r="285">
          <cell r="A285" t="str">
            <v>Niger</v>
          </cell>
          <cell r="C285">
            <v>1.0289999999999999</v>
          </cell>
        </row>
        <row r="286">
          <cell r="A286" t="str">
            <v>Nigeria</v>
          </cell>
          <cell r="C286">
            <v>29.925000000000001</v>
          </cell>
        </row>
        <row r="287">
          <cell r="A287" t="str">
            <v>North Korea</v>
          </cell>
          <cell r="C287">
            <v>6.1580000000000004</v>
          </cell>
        </row>
        <row r="288">
          <cell r="A288" t="str">
            <v>North Macedonia</v>
          </cell>
          <cell r="C288">
            <v>0.92</v>
          </cell>
        </row>
        <row r="289">
          <cell r="A289" t="str">
            <v>Norway</v>
          </cell>
          <cell r="C289">
            <v>2.0499999999999998</v>
          </cell>
        </row>
        <row r="290">
          <cell r="A290" t="str">
            <v>Oman</v>
          </cell>
          <cell r="C290">
            <v>7.36</v>
          </cell>
        </row>
        <row r="291">
          <cell r="A291" t="str">
            <v>Pakistan</v>
          </cell>
          <cell r="C291">
            <v>43.618000000000002</v>
          </cell>
        </row>
        <row r="292">
          <cell r="A292" t="str">
            <v>Palestine</v>
          </cell>
          <cell r="C292">
            <v>2.38</v>
          </cell>
        </row>
        <row r="293">
          <cell r="A293" t="str">
            <v>Panama</v>
          </cell>
          <cell r="C293">
            <v>1.173</v>
          </cell>
        </row>
        <row r="294">
          <cell r="A294" t="str">
            <v>Papua New Guinea</v>
          </cell>
          <cell r="C294">
            <v>0.375</v>
          </cell>
        </row>
        <row r="295">
          <cell r="A295" t="str">
            <v>Paraguay</v>
          </cell>
          <cell r="C295">
            <v>1.669</v>
          </cell>
        </row>
        <row r="296">
          <cell r="A296" t="str">
            <v>Peru</v>
          </cell>
          <cell r="C296">
            <v>13.539</v>
          </cell>
        </row>
        <row r="297">
          <cell r="A297" t="str">
            <v>Philippines</v>
          </cell>
          <cell r="C297">
            <v>34.78</v>
          </cell>
        </row>
        <row r="298">
          <cell r="A298" t="str">
            <v>Poland</v>
          </cell>
          <cell r="C298">
            <v>18.574000000000002</v>
          </cell>
        </row>
        <row r="299">
          <cell r="A299" t="str">
            <v>Portugal</v>
          </cell>
          <cell r="C299">
            <v>4.46</v>
          </cell>
        </row>
        <row r="300">
          <cell r="A300" t="str">
            <v>Puerto Rico</v>
          </cell>
          <cell r="C300">
            <v>0.69399999999999995</v>
          </cell>
        </row>
        <row r="301">
          <cell r="A301" t="str">
            <v>Qatar</v>
          </cell>
          <cell r="C301">
            <v>5.5</v>
          </cell>
        </row>
        <row r="302">
          <cell r="A302" t="str">
            <v>Reunion</v>
          </cell>
          <cell r="C302">
            <v>0.43</v>
          </cell>
        </row>
        <row r="303">
          <cell r="A303" t="str">
            <v>Romania</v>
          </cell>
          <cell r="C303">
            <v>10.802</v>
          </cell>
        </row>
        <row r="304">
          <cell r="A304" t="str">
            <v>Russia</v>
          </cell>
          <cell r="C304">
            <v>62.05</v>
          </cell>
        </row>
        <row r="305">
          <cell r="A305" t="str">
            <v>Rwanda</v>
          </cell>
          <cell r="C305">
            <v>0.95</v>
          </cell>
        </row>
        <row r="306">
          <cell r="A306" t="str">
            <v>Saudi Arabia</v>
          </cell>
          <cell r="C306">
            <v>50.759</v>
          </cell>
        </row>
        <row r="307">
          <cell r="A307" t="str">
            <v>Senegal</v>
          </cell>
          <cell r="C307">
            <v>6.46</v>
          </cell>
        </row>
        <row r="308">
          <cell r="A308" t="str">
            <v>Serbia</v>
          </cell>
          <cell r="C308">
            <v>3.0350000000000001</v>
          </cell>
        </row>
        <row r="309">
          <cell r="A309" t="str">
            <v>Seychelles</v>
          </cell>
          <cell r="C309">
            <v>6.7000000000000004E-2</v>
          </cell>
        </row>
        <row r="310">
          <cell r="A310" t="str">
            <v>Sierra Leone</v>
          </cell>
          <cell r="C310">
            <v>0.98299999999999998</v>
          </cell>
        </row>
        <row r="311">
          <cell r="A311" t="str">
            <v>Singapore</v>
          </cell>
          <cell r="C311">
            <v>4.3410000000000002</v>
          </cell>
        </row>
        <row r="312">
          <cell r="A312" t="str">
            <v>Slovakia</v>
          </cell>
          <cell r="C312">
            <v>2.298</v>
          </cell>
        </row>
        <row r="313">
          <cell r="A313" t="str">
            <v>Slovenia</v>
          </cell>
          <cell r="C313">
            <v>1.19</v>
          </cell>
        </row>
        <row r="314">
          <cell r="A314" t="str">
            <v>Somalia</v>
          </cell>
          <cell r="C314">
            <v>0.77</v>
          </cell>
        </row>
        <row r="315">
          <cell r="A315" t="str">
            <v>South Africa</v>
          </cell>
          <cell r="C315">
            <v>12.956</v>
          </cell>
        </row>
        <row r="316">
          <cell r="A316" t="str">
            <v>South Korea</v>
          </cell>
          <cell r="C316">
            <v>49.651000000000003</v>
          </cell>
        </row>
        <row r="317">
          <cell r="A317" t="str">
            <v>South Sudan</v>
          </cell>
          <cell r="C317">
            <v>1.29</v>
          </cell>
        </row>
        <row r="318">
          <cell r="A318" t="str">
            <v>Spain</v>
          </cell>
          <cell r="C318">
            <v>14.911</v>
          </cell>
        </row>
        <row r="319">
          <cell r="A319" t="str">
            <v>Sri Lanka</v>
          </cell>
          <cell r="C319">
            <v>4.5659999999999998</v>
          </cell>
        </row>
        <row r="320">
          <cell r="A320" t="str">
            <v>Sudan</v>
          </cell>
          <cell r="C320">
            <v>4.2</v>
          </cell>
        </row>
        <row r="321">
          <cell r="A321" t="str">
            <v>Suriname</v>
          </cell>
          <cell r="C321">
            <v>0.16700000000000001</v>
          </cell>
        </row>
        <row r="322">
          <cell r="A322" t="str">
            <v>Sweden</v>
          </cell>
          <cell r="C322">
            <v>3</v>
          </cell>
        </row>
        <row r="323">
          <cell r="A323" t="str">
            <v>Switzerland</v>
          </cell>
          <cell r="C323">
            <v>4.5460000000000003</v>
          </cell>
        </row>
        <row r="324">
          <cell r="A324" t="str">
            <v>Syria</v>
          </cell>
          <cell r="C324">
            <v>5.4550000000000001</v>
          </cell>
        </row>
        <row r="325">
          <cell r="A325" t="str">
            <v>Taiwan</v>
          </cell>
          <cell r="C325">
            <v>10.776999999999999</v>
          </cell>
        </row>
        <row r="326">
          <cell r="A326" t="str">
            <v>Tajikistan</v>
          </cell>
          <cell r="C326">
            <v>2.9780000000000002</v>
          </cell>
        </row>
        <row r="327">
          <cell r="A327" t="str">
            <v>Tanzania</v>
          </cell>
          <cell r="C327">
            <v>7.2670000000000003</v>
          </cell>
        </row>
        <row r="328">
          <cell r="A328" t="str">
            <v>Thailand</v>
          </cell>
          <cell r="C328">
            <v>26.881</v>
          </cell>
        </row>
        <row r="329">
          <cell r="A329" t="str">
            <v>Timor-Leste</v>
          </cell>
          <cell r="C329">
            <v>0.32</v>
          </cell>
        </row>
        <row r="330">
          <cell r="A330" t="str">
            <v>Togo</v>
          </cell>
          <cell r="C330">
            <v>2.258</v>
          </cell>
        </row>
        <row r="331">
          <cell r="A331" t="str">
            <v>Trinidad and Tobago</v>
          </cell>
        </row>
        <row r="332">
          <cell r="A332" t="str">
            <v>Tunisia</v>
          </cell>
          <cell r="C332">
            <v>5.7030000000000003</v>
          </cell>
        </row>
        <row r="333">
          <cell r="A333" t="str">
            <v>Turkey</v>
          </cell>
          <cell r="C333">
            <v>56.869</v>
          </cell>
        </row>
        <row r="334">
          <cell r="A334" t="str">
            <v>Turkmenistan</v>
          </cell>
          <cell r="C334">
            <v>2.59</v>
          </cell>
        </row>
        <row r="335">
          <cell r="A335" t="str">
            <v>United Arab Emirates</v>
          </cell>
          <cell r="C335">
            <v>11.074</v>
          </cell>
        </row>
        <row r="336">
          <cell r="A336" t="str">
            <v>Uganda</v>
          </cell>
          <cell r="C336">
            <v>3.3420000000000001</v>
          </cell>
        </row>
        <row r="337">
          <cell r="A337" t="str">
            <v>Ukraine</v>
          </cell>
          <cell r="C337">
            <v>4.4989999999999997</v>
          </cell>
        </row>
        <row r="338">
          <cell r="A338" t="str">
            <v>United Kingdom</v>
          </cell>
          <cell r="C338">
            <v>12.01</v>
          </cell>
        </row>
        <row r="339">
          <cell r="A339" t="str">
            <v>United States</v>
          </cell>
          <cell r="C339">
            <v>110.58799999999999</v>
          </cell>
        </row>
        <row r="340">
          <cell r="A340" t="str">
            <v>Uruguay</v>
          </cell>
          <cell r="C340">
            <v>0.93100000000000005</v>
          </cell>
        </row>
        <row r="341">
          <cell r="A341" t="str">
            <v>Uzbekistan</v>
          </cell>
          <cell r="C341">
            <v>13.391999999999999</v>
          </cell>
        </row>
        <row r="342">
          <cell r="A342" t="str">
            <v>Venezuela</v>
          </cell>
          <cell r="C342">
            <v>1.39</v>
          </cell>
        </row>
        <row r="343">
          <cell r="A343" t="str">
            <v>Vietnam</v>
          </cell>
          <cell r="C343">
            <v>67.756</v>
          </cell>
        </row>
        <row r="344">
          <cell r="A344" t="str">
            <v>Yemen</v>
          </cell>
          <cell r="C344">
            <v>2.8319999999999999</v>
          </cell>
        </row>
        <row r="345">
          <cell r="A345" t="str">
            <v>Yugoslavia</v>
          </cell>
        </row>
        <row r="346">
          <cell r="A346" t="str">
            <v>Zambia</v>
          </cell>
          <cell r="C346">
            <v>2.1</v>
          </cell>
        </row>
        <row r="347">
          <cell r="A347" t="str">
            <v>Zimbabwe</v>
          </cell>
          <cell r="C347">
            <v>1.623</v>
          </cell>
        </row>
        <row r="348">
          <cell r="A348" t="str">
            <v>Afghanistan</v>
          </cell>
          <cell r="C348">
            <v>2.5720000000000001</v>
          </cell>
        </row>
        <row r="349">
          <cell r="A349" t="str">
            <v>Albania</v>
          </cell>
          <cell r="C349">
            <v>1.95</v>
          </cell>
        </row>
        <row r="350">
          <cell r="A350" t="str">
            <v>Algeria</v>
          </cell>
          <cell r="C350">
            <v>17.356999999999999</v>
          </cell>
        </row>
        <row r="351">
          <cell r="A351" t="str">
            <v>Angola</v>
          </cell>
          <cell r="C351">
            <v>3.3</v>
          </cell>
        </row>
        <row r="352">
          <cell r="A352" t="str">
            <v>Argentina</v>
          </cell>
          <cell r="C352">
            <v>12.788</v>
          </cell>
        </row>
        <row r="353">
          <cell r="A353" t="str">
            <v>Armenia</v>
          </cell>
          <cell r="C353">
            <v>1.363</v>
          </cell>
        </row>
        <row r="354">
          <cell r="A354" t="str">
            <v>Australia</v>
          </cell>
          <cell r="C354">
            <v>11.91</v>
          </cell>
        </row>
        <row r="355">
          <cell r="A355" t="str">
            <v>Austria</v>
          </cell>
          <cell r="C355">
            <v>6.5</v>
          </cell>
        </row>
        <row r="356">
          <cell r="A356" t="str">
            <v>Azerbaijan</v>
          </cell>
          <cell r="C356">
            <v>3.625</v>
          </cell>
        </row>
        <row r="357">
          <cell r="A357" t="str">
            <v>Bahrain</v>
          </cell>
          <cell r="C357">
            <v>1.542</v>
          </cell>
        </row>
        <row r="358">
          <cell r="A358" t="str">
            <v>Bangladesh</v>
          </cell>
          <cell r="C358">
            <v>40.35</v>
          </cell>
        </row>
        <row r="359">
          <cell r="A359" t="str">
            <v>Belarus</v>
          </cell>
          <cell r="C359">
            <v>3.25</v>
          </cell>
        </row>
        <row r="360">
          <cell r="A360" t="str">
            <v>Belgium</v>
          </cell>
          <cell r="C360">
            <v>7.0880000000000001</v>
          </cell>
        </row>
        <row r="361">
          <cell r="A361" t="str">
            <v>Belize</v>
          </cell>
          <cell r="C361">
            <v>0.34</v>
          </cell>
        </row>
        <row r="362">
          <cell r="A362" t="str">
            <v>Benin</v>
          </cell>
          <cell r="C362">
            <v>2.9140000000000001</v>
          </cell>
        </row>
        <row r="363">
          <cell r="A363" t="str">
            <v>Bhutan</v>
          </cell>
          <cell r="C363">
            <v>0.621</v>
          </cell>
        </row>
        <row r="364">
          <cell r="A364" t="str">
            <v>Bolivia</v>
          </cell>
          <cell r="C364">
            <v>3.915</v>
          </cell>
        </row>
        <row r="365">
          <cell r="A365" t="str">
            <v>Bosnia Herzegovina</v>
          </cell>
          <cell r="C365">
            <v>1.24</v>
          </cell>
        </row>
        <row r="366">
          <cell r="A366" t="str">
            <v>Botswana</v>
          </cell>
          <cell r="C366">
            <v>0.7</v>
          </cell>
        </row>
        <row r="367">
          <cell r="A367" t="str">
            <v>Brazil</v>
          </cell>
          <cell r="C367">
            <v>62.204000000000001</v>
          </cell>
        </row>
        <row r="368">
          <cell r="A368" t="str">
            <v>Brunei</v>
          </cell>
          <cell r="C368">
            <v>0.374</v>
          </cell>
        </row>
        <row r="369">
          <cell r="A369" t="str">
            <v>Bulgaria</v>
          </cell>
          <cell r="C369">
            <v>2.78</v>
          </cell>
        </row>
        <row r="370">
          <cell r="A370" t="str">
            <v>Burkina Faso</v>
          </cell>
          <cell r="C370">
            <v>3.3540000000000001</v>
          </cell>
        </row>
        <row r="371">
          <cell r="A371" t="str">
            <v>Burundi</v>
          </cell>
          <cell r="C371">
            <v>0.28000000000000003</v>
          </cell>
        </row>
        <row r="372">
          <cell r="A372" t="str">
            <v>Cabo Verde</v>
          </cell>
          <cell r="C372">
            <v>0.26200000000000001</v>
          </cell>
        </row>
        <row r="373">
          <cell r="A373" t="str">
            <v>Cambodia</v>
          </cell>
          <cell r="C373">
            <v>8.5</v>
          </cell>
        </row>
        <row r="374">
          <cell r="A374" t="str">
            <v>Cameroon</v>
          </cell>
          <cell r="C374">
            <v>4.4260000000000002</v>
          </cell>
        </row>
        <row r="375">
          <cell r="A375" t="str">
            <v>Canada</v>
          </cell>
          <cell r="C375">
            <v>10.37</v>
          </cell>
        </row>
        <row r="376">
          <cell r="A376" t="str">
            <v>Caribbean</v>
          </cell>
          <cell r="C376">
            <v>9.7550000000000008</v>
          </cell>
        </row>
        <row r="377">
          <cell r="A377" t="str">
            <v>Chad</v>
          </cell>
          <cell r="C377">
            <v>1.02</v>
          </cell>
        </row>
        <row r="378">
          <cell r="A378" t="str">
            <v>Chile</v>
          </cell>
          <cell r="C378">
            <v>3.899</v>
          </cell>
        </row>
        <row r="379">
          <cell r="A379" t="str">
            <v>China</v>
          </cell>
          <cell r="C379">
            <v>2032.232</v>
          </cell>
        </row>
        <row r="380">
          <cell r="A380" t="str">
            <v>Colombia</v>
          </cell>
          <cell r="C380">
            <v>13.734999999999999</v>
          </cell>
        </row>
        <row r="381">
          <cell r="A381" t="str">
            <v>Comoros</v>
          </cell>
          <cell r="C381">
            <v>0.26500000000000001</v>
          </cell>
        </row>
        <row r="382">
          <cell r="A382" t="str">
            <v>Congo - Dem. Republic</v>
          </cell>
          <cell r="C382">
            <v>2.9129999999999998</v>
          </cell>
        </row>
        <row r="383">
          <cell r="A383" t="str">
            <v>Congo - Republic</v>
          </cell>
          <cell r="C383">
            <v>0.8</v>
          </cell>
        </row>
        <row r="384">
          <cell r="A384" t="str">
            <v>Costa Rica</v>
          </cell>
          <cell r="C384">
            <v>0.97399999999999998</v>
          </cell>
        </row>
        <row r="385">
          <cell r="A385" t="str">
            <v>Côte d'Ivoire</v>
          </cell>
          <cell r="C385">
            <v>6.69</v>
          </cell>
        </row>
        <row r="386">
          <cell r="A386" t="str">
            <v>Croatia</v>
          </cell>
          <cell r="C386">
            <v>1.72</v>
          </cell>
        </row>
        <row r="387">
          <cell r="A387" t="str">
            <v>Cuba</v>
          </cell>
          <cell r="C387">
            <v>0.7</v>
          </cell>
        </row>
        <row r="388">
          <cell r="A388" t="str">
            <v>Cyprus</v>
          </cell>
          <cell r="C388">
            <v>1.385</v>
          </cell>
        </row>
        <row r="389">
          <cell r="A389" t="str">
            <v>Czech Republic</v>
          </cell>
          <cell r="C389">
            <v>4.4850000000000003</v>
          </cell>
        </row>
        <row r="390">
          <cell r="A390" t="str">
            <v>Denmark</v>
          </cell>
          <cell r="C390">
            <v>1.9690000000000001</v>
          </cell>
        </row>
        <row r="391">
          <cell r="A391" t="str">
            <v>Djibouti</v>
          </cell>
          <cell r="C391">
            <v>0.33500000000000002</v>
          </cell>
        </row>
        <row r="392">
          <cell r="A392" t="str">
            <v>Ecuador</v>
          </cell>
          <cell r="C392">
            <v>5.5839999999999996</v>
          </cell>
        </row>
        <row r="393">
          <cell r="A393" t="str">
            <v>Egypt</v>
          </cell>
          <cell r="C393">
            <v>48.633000000000003</v>
          </cell>
        </row>
        <row r="394">
          <cell r="A394" t="str">
            <v>El Salvador</v>
          </cell>
          <cell r="C394">
            <v>1.893</v>
          </cell>
        </row>
        <row r="395">
          <cell r="A395" t="str">
            <v>Equatorial Guinea</v>
          </cell>
          <cell r="C395">
            <v>0.255</v>
          </cell>
        </row>
        <row r="396">
          <cell r="A396" t="str">
            <v>Eritrea</v>
          </cell>
          <cell r="C396">
            <v>0.63</v>
          </cell>
        </row>
        <row r="397">
          <cell r="A397" t="str">
            <v>Estonia</v>
          </cell>
          <cell r="C397">
            <v>0.44400000000000001</v>
          </cell>
        </row>
        <row r="398">
          <cell r="A398" t="str">
            <v>Eswatini</v>
          </cell>
          <cell r="C398">
            <v>0.27</v>
          </cell>
        </row>
        <row r="399">
          <cell r="A399" t="str">
            <v>Ethiopia</v>
          </cell>
          <cell r="C399">
            <v>10.35</v>
          </cell>
        </row>
        <row r="400">
          <cell r="A400" t="str">
            <v>Fiji</v>
          </cell>
          <cell r="C400">
            <v>0.17</v>
          </cell>
        </row>
        <row r="401">
          <cell r="A401" t="str">
            <v>Finland</v>
          </cell>
          <cell r="C401">
            <v>2.0209999999999999</v>
          </cell>
        </row>
        <row r="402">
          <cell r="A402" t="str">
            <v>France</v>
          </cell>
          <cell r="C402">
            <v>18.524999999999999</v>
          </cell>
        </row>
        <row r="403">
          <cell r="A403" t="str">
            <v>Gabon</v>
          </cell>
          <cell r="C403">
            <v>0.57399999999999995</v>
          </cell>
        </row>
        <row r="404">
          <cell r="A404" t="str">
            <v>Gambia</v>
          </cell>
          <cell r="C404">
            <v>0.79400000000000004</v>
          </cell>
        </row>
        <row r="405">
          <cell r="A405" t="str">
            <v>Georgia</v>
          </cell>
          <cell r="C405">
            <v>3.15</v>
          </cell>
        </row>
        <row r="406">
          <cell r="A406" t="str">
            <v>Germany</v>
          </cell>
          <cell r="C406">
            <v>25.817</v>
          </cell>
        </row>
        <row r="407">
          <cell r="A407" t="str">
            <v>Ghana</v>
          </cell>
          <cell r="C407">
            <v>7.8410000000000002</v>
          </cell>
        </row>
        <row r="408">
          <cell r="A408" t="str">
            <v>Greece</v>
          </cell>
          <cell r="C408">
            <v>3.44</v>
          </cell>
        </row>
        <row r="409">
          <cell r="A409" t="str">
            <v>Guatemala</v>
          </cell>
          <cell r="C409">
            <v>5.09</v>
          </cell>
        </row>
        <row r="410">
          <cell r="A410" t="str">
            <v>Guinea</v>
          </cell>
          <cell r="C410">
            <v>2.0659999999999998</v>
          </cell>
        </row>
        <row r="411">
          <cell r="A411" t="str">
            <v>Guinea-Bissau</v>
          </cell>
          <cell r="C411">
            <v>0.11799999999999999</v>
          </cell>
        </row>
        <row r="412">
          <cell r="A412" t="str">
            <v>Honduras</v>
          </cell>
          <cell r="C412">
            <v>2.0950000000000002</v>
          </cell>
        </row>
        <row r="413">
          <cell r="A413" t="str">
            <v>Hong Kong</v>
          </cell>
          <cell r="C413">
            <v>5.43</v>
          </cell>
        </row>
        <row r="414">
          <cell r="A414" t="str">
            <v>Hungary</v>
          </cell>
          <cell r="C414">
            <v>3.78</v>
          </cell>
        </row>
        <row r="415">
          <cell r="A415" t="str">
            <v>Iceland</v>
          </cell>
          <cell r="C415">
            <v>0.21199999999999999</v>
          </cell>
        </row>
        <row r="416">
          <cell r="A416" t="str">
            <v>India</v>
          </cell>
          <cell r="C416">
            <v>418.71699999999998</v>
          </cell>
        </row>
        <row r="417">
          <cell r="A417" t="str">
            <v>Indonesia</v>
          </cell>
          <cell r="C417">
            <v>63.365000000000002</v>
          </cell>
        </row>
        <row r="418">
          <cell r="A418" t="str">
            <v>Iran</v>
          </cell>
          <cell r="C418">
            <v>62.823</v>
          </cell>
        </row>
        <row r="419">
          <cell r="A419" t="str">
            <v>Iraq</v>
          </cell>
          <cell r="C419">
            <v>35.5</v>
          </cell>
        </row>
        <row r="420">
          <cell r="A420" t="str">
            <v>Ireland</v>
          </cell>
          <cell r="C420">
            <v>2.4700000000000002</v>
          </cell>
        </row>
        <row r="421">
          <cell r="A421" t="str">
            <v>Israel</v>
          </cell>
          <cell r="C421">
            <v>6.0590000000000002</v>
          </cell>
        </row>
        <row r="422">
          <cell r="A422" t="str">
            <v>Italy</v>
          </cell>
          <cell r="C422">
            <v>18.366</v>
          </cell>
        </row>
        <row r="423">
          <cell r="A423" t="str">
            <v>Japan</v>
          </cell>
          <cell r="C423">
            <v>35.801000000000002</v>
          </cell>
        </row>
        <row r="424">
          <cell r="A424" t="str">
            <v>Jordan</v>
          </cell>
          <cell r="C424">
            <v>3.2</v>
          </cell>
        </row>
        <row r="425">
          <cell r="A425" t="str">
            <v>Kazakhstan</v>
          </cell>
          <cell r="C425">
            <v>11.145</v>
          </cell>
        </row>
        <row r="426">
          <cell r="A426" t="str">
            <v>Kenya</v>
          </cell>
          <cell r="C426">
            <v>9.11</v>
          </cell>
        </row>
        <row r="427">
          <cell r="A427" t="str">
            <v>Kosovo</v>
          </cell>
          <cell r="C427">
            <v>1.3</v>
          </cell>
        </row>
        <row r="428">
          <cell r="A428" t="str">
            <v>Kuwait</v>
          </cell>
          <cell r="C428">
            <v>5.8</v>
          </cell>
        </row>
        <row r="429">
          <cell r="A429" t="str">
            <v>Kyrgyz Republic</v>
          </cell>
          <cell r="C429">
            <v>2.67</v>
          </cell>
        </row>
        <row r="430">
          <cell r="A430" t="str">
            <v>Laos</v>
          </cell>
          <cell r="C430">
            <v>6.1</v>
          </cell>
        </row>
        <row r="431">
          <cell r="A431" t="str">
            <v>Latvia</v>
          </cell>
          <cell r="C431">
            <v>0.5</v>
          </cell>
        </row>
        <row r="432">
          <cell r="A432" t="str">
            <v>Lebanon</v>
          </cell>
          <cell r="C432">
            <v>2.214</v>
          </cell>
        </row>
        <row r="433">
          <cell r="A433" t="str">
            <v>Lesotho</v>
          </cell>
          <cell r="C433">
            <v>0.245</v>
          </cell>
        </row>
        <row r="434">
          <cell r="A434" t="str">
            <v>Liberia</v>
          </cell>
          <cell r="C434">
            <v>0.72799999999999998</v>
          </cell>
        </row>
        <row r="435">
          <cell r="A435" t="str">
            <v>Libya</v>
          </cell>
          <cell r="C435">
            <v>9.5</v>
          </cell>
        </row>
        <row r="436">
          <cell r="A436" t="str">
            <v>Lithuania</v>
          </cell>
          <cell r="C436">
            <v>1.1100000000000001</v>
          </cell>
        </row>
        <row r="437">
          <cell r="A437" t="str">
            <v>Luxembourg</v>
          </cell>
          <cell r="C437">
            <v>0.63500000000000001</v>
          </cell>
        </row>
        <row r="438">
          <cell r="A438" t="str">
            <v>Macau</v>
          </cell>
          <cell r="C438">
            <v>0.52</v>
          </cell>
        </row>
        <row r="439">
          <cell r="A439" t="str">
            <v>Madagascar</v>
          </cell>
          <cell r="C439">
            <v>1.179</v>
          </cell>
        </row>
        <row r="440">
          <cell r="A440" t="str">
            <v>Malawi</v>
          </cell>
          <cell r="C440">
            <v>0.85099999999999998</v>
          </cell>
        </row>
        <row r="441">
          <cell r="A441" t="str">
            <v>Malaysia</v>
          </cell>
          <cell r="C441">
            <v>19.733000000000001</v>
          </cell>
        </row>
        <row r="442">
          <cell r="A442" t="str">
            <v>Mali</v>
          </cell>
          <cell r="C442">
            <v>3.4</v>
          </cell>
        </row>
        <row r="443">
          <cell r="A443" t="str">
            <v>Malta</v>
          </cell>
          <cell r="C443">
            <v>0.52</v>
          </cell>
        </row>
        <row r="444">
          <cell r="A444" t="str">
            <v>Mauritania</v>
          </cell>
          <cell r="C444">
            <v>1.766</v>
          </cell>
        </row>
        <row r="445">
          <cell r="A445" t="str">
            <v>Mauritius</v>
          </cell>
          <cell r="C445">
            <v>0.81499999999999995</v>
          </cell>
        </row>
        <row r="446">
          <cell r="A446" t="str">
            <v>Mexico</v>
          </cell>
          <cell r="C446">
            <v>43.878999999999998</v>
          </cell>
        </row>
        <row r="447">
          <cell r="A447" t="str">
            <v>Moldova</v>
          </cell>
          <cell r="C447">
            <v>0.94399999999999995</v>
          </cell>
        </row>
        <row r="448">
          <cell r="A448" t="str">
            <v>Mongolia</v>
          </cell>
          <cell r="C448">
            <v>1.3140000000000001</v>
          </cell>
        </row>
        <row r="449">
          <cell r="A449" t="str">
            <v>Montenegro</v>
          </cell>
          <cell r="C449">
            <v>0.32</v>
          </cell>
        </row>
        <row r="450">
          <cell r="A450" t="str">
            <v>Morocco</v>
          </cell>
          <cell r="C450">
            <v>12.6</v>
          </cell>
        </row>
        <row r="451">
          <cell r="A451" t="str">
            <v>Mozambique</v>
          </cell>
          <cell r="C451">
            <v>2.9</v>
          </cell>
        </row>
        <row r="452">
          <cell r="A452" t="str">
            <v>Myanmar</v>
          </cell>
          <cell r="C452">
            <v>8.41</v>
          </cell>
        </row>
        <row r="453">
          <cell r="A453" t="str">
            <v>Namibia</v>
          </cell>
          <cell r="C453">
            <v>0.54</v>
          </cell>
        </row>
        <row r="454">
          <cell r="A454" t="str">
            <v>Nepal</v>
          </cell>
          <cell r="C454">
            <v>7.5</v>
          </cell>
        </row>
        <row r="455">
          <cell r="A455" t="str">
            <v>Netherlands</v>
          </cell>
          <cell r="C455">
            <v>5.2</v>
          </cell>
        </row>
        <row r="456">
          <cell r="A456" t="str">
            <v>New Zealand</v>
          </cell>
          <cell r="C456">
            <v>1.6950000000000001</v>
          </cell>
        </row>
        <row r="457">
          <cell r="A457" t="str">
            <v>Nicaragua</v>
          </cell>
          <cell r="C457">
            <v>0.89900000000000002</v>
          </cell>
        </row>
        <row r="458">
          <cell r="A458" t="str">
            <v>Niger</v>
          </cell>
          <cell r="C458">
            <v>1.08</v>
          </cell>
        </row>
        <row r="459">
          <cell r="A459" t="str">
            <v>Nigeria</v>
          </cell>
          <cell r="C459">
            <v>31.420999999999999</v>
          </cell>
        </row>
        <row r="460">
          <cell r="A460" t="str">
            <v>North Korea</v>
          </cell>
          <cell r="C460">
            <v>6.3090000000000002</v>
          </cell>
        </row>
        <row r="461">
          <cell r="A461" t="str">
            <v>North Macedonia</v>
          </cell>
          <cell r="C461">
            <v>0.95</v>
          </cell>
        </row>
        <row r="462">
          <cell r="A462" t="str">
            <v>Norway</v>
          </cell>
          <cell r="C462">
            <v>2.04</v>
          </cell>
        </row>
        <row r="463">
          <cell r="A463" t="str">
            <v>Oman</v>
          </cell>
          <cell r="C463">
            <v>7.758</v>
          </cell>
        </row>
        <row r="464">
          <cell r="A464" t="str">
            <v>Pakistan</v>
          </cell>
          <cell r="C464">
            <v>42</v>
          </cell>
        </row>
        <row r="465">
          <cell r="A465" t="str">
            <v>Palestine</v>
          </cell>
          <cell r="C465">
            <v>2.1</v>
          </cell>
        </row>
        <row r="466">
          <cell r="A466" t="str">
            <v>Panama</v>
          </cell>
          <cell r="C466">
            <v>1.264</v>
          </cell>
        </row>
        <row r="467">
          <cell r="A467" t="str">
            <v>Papua New Guinea</v>
          </cell>
          <cell r="C467">
            <v>0.4</v>
          </cell>
        </row>
        <row r="468">
          <cell r="A468" t="str">
            <v>Paraguay</v>
          </cell>
          <cell r="C468">
            <v>1.7949999999999999</v>
          </cell>
        </row>
        <row r="469">
          <cell r="A469" t="str">
            <v>Peru</v>
          </cell>
          <cell r="C469">
            <v>12.803000000000001</v>
          </cell>
        </row>
        <row r="470">
          <cell r="A470" t="str">
            <v>Philippines</v>
          </cell>
          <cell r="C470">
            <v>35.4</v>
          </cell>
        </row>
        <row r="471">
          <cell r="A471" t="str">
            <v>Poland</v>
          </cell>
          <cell r="C471">
            <v>18.2</v>
          </cell>
        </row>
        <row r="472">
          <cell r="A472" t="str">
            <v>Portugal</v>
          </cell>
          <cell r="C472">
            <v>4.4829999999999997</v>
          </cell>
        </row>
        <row r="473">
          <cell r="A473" t="str">
            <v>Puerto Rico</v>
          </cell>
          <cell r="C473">
            <v>0.64100000000000001</v>
          </cell>
        </row>
        <row r="474">
          <cell r="A474" t="str">
            <v>Qatar</v>
          </cell>
          <cell r="C474">
            <v>5.6</v>
          </cell>
        </row>
        <row r="475">
          <cell r="A475" t="str">
            <v>Reunion</v>
          </cell>
          <cell r="C475">
            <v>0.443</v>
          </cell>
        </row>
        <row r="476">
          <cell r="A476" t="str">
            <v>Romania</v>
          </cell>
          <cell r="C476">
            <v>10.98</v>
          </cell>
        </row>
        <row r="477">
          <cell r="A477" t="str">
            <v>Russia</v>
          </cell>
          <cell r="C477">
            <v>62.764000000000003</v>
          </cell>
        </row>
        <row r="478">
          <cell r="A478" t="str">
            <v>Rwanda</v>
          </cell>
          <cell r="C478">
            <v>1</v>
          </cell>
        </row>
        <row r="479">
          <cell r="A479" t="str">
            <v>Saudi Arabia</v>
          </cell>
          <cell r="C479">
            <v>47.814999999999998</v>
          </cell>
        </row>
        <row r="480">
          <cell r="A480" t="str">
            <v>Senegal</v>
          </cell>
          <cell r="C480">
            <v>6.8419999999999996</v>
          </cell>
        </row>
        <row r="481">
          <cell r="A481" t="str">
            <v>Serbia</v>
          </cell>
          <cell r="C481">
            <v>3.0960000000000001</v>
          </cell>
        </row>
        <row r="482">
          <cell r="A482" t="str">
            <v>Seychelles</v>
          </cell>
          <cell r="C482">
            <v>7.0000000000000007E-2</v>
          </cell>
        </row>
        <row r="483">
          <cell r="A483" t="str">
            <v>Sierra Leone</v>
          </cell>
          <cell r="C483">
            <v>1.0329999999999999</v>
          </cell>
        </row>
        <row r="484">
          <cell r="A484" t="str">
            <v>Singapore</v>
          </cell>
          <cell r="C484">
            <v>4.3</v>
          </cell>
        </row>
        <row r="485">
          <cell r="A485" t="str">
            <v>Slovakia</v>
          </cell>
          <cell r="C485">
            <v>2.3250000000000002</v>
          </cell>
        </row>
        <row r="486">
          <cell r="A486" t="str">
            <v>Slovenia</v>
          </cell>
          <cell r="C486">
            <v>1.1950000000000001</v>
          </cell>
        </row>
        <row r="487">
          <cell r="A487" t="str">
            <v>Somalia</v>
          </cell>
          <cell r="C487">
            <v>0.8</v>
          </cell>
        </row>
        <row r="488">
          <cell r="A488" t="str">
            <v>South Africa</v>
          </cell>
          <cell r="C488">
            <v>13.1</v>
          </cell>
        </row>
        <row r="489">
          <cell r="A489" t="str">
            <v>South Korea</v>
          </cell>
          <cell r="C489">
            <v>49.337000000000003</v>
          </cell>
        </row>
        <row r="490">
          <cell r="A490" t="str">
            <v>South Sudan</v>
          </cell>
          <cell r="C490">
            <v>1.36</v>
          </cell>
        </row>
        <row r="491">
          <cell r="A491" t="str">
            <v>Spain</v>
          </cell>
          <cell r="C491">
            <v>15.17</v>
          </cell>
        </row>
        <row r="492">
          <cell r="A492" t="str">
            <v>Sri Lanka</v>
          </cell>
          <cell r="C492">
            <v>3.1259999999999999</v>
          </cell>
        </row>
        <row r="493">
          <cell r="A493" t="str">
            <v>Sudan</v>
          </cell>
          <cell r="C493">
            <v>3.9</v>
          </cell>
        </row>
        <row r="494">
          <cell r="A494" t="str">
            <v>Suriname</v>
          </cell>
          <cell r="C494">
            <v>0.17</v>
          </cell>
        </row>
        <row r="495">
          <cell r="A495" t="str">
            <v>Sweden</v>
          </cell>
          <cell r="C495">
            <v>2.9</v>
          </cell>
        </row>
        <row r="496">
          <cell r="A496" t="str">
            <v>Switzerland</v>
          </cell>
          <cell r="C496">
            <v>4.282</v>
          </cell>
        </row>
        <row r="497">
          <cell r="A497" t="str">
            <v>Syria</v>
          </cell>
          <cell r="C497">
            <v>5.5</v>
          </cell>
        </row>
        <row r="498">
          <cell r="A498" t="str">
            <v>Taiwan</v>
          </cell>
          <cell r="C498">
            <v>10.38</v>
          </cell>
        </row>
        <row r="499">
          <cell r="A499" t="str">
            <v>Tajikistan</v>
          </cell>
          <cell r="C499">
            <v>3.0790000000000002</v>
          </cell>
        </row>
        <row r="500">
          <cell r="A500" t="str">
            <v>Tanzania</v>
          </cell>
          <cell r="C500">
            <v>7.7</v>
          </cell>
        </row>
        <row r="501">
          <cell r="A501" t="str">
            <v>Thailand</v>
          </cell>
          <cell r="C501">
            <v>26.6</v>
          </cell>
        </row>
        <row r="502">
          <cell r="A502" t="str">
            <v>Timor-Leste</v>
          </cell>
          <cell r="C502">
            <v>0.33200000000000002</v>
          </cell>
        </row>
        <row r="503">
          <cell r="A503" t="str">
            <v>Togo</v>
          </cell>
          <cell r="C503">
            <v>2.37</v>
          </cell>
        </row>
        <row r="504">
          <cell r="A504" t="str">
            <v>Trinidad and Tobago</v>
          </cell>
          <cell r="C504">
            <v>0</v>
          </cell>
        </row>
        <row r="505">
          <cell r="A505" t="str">
            <v>Tunisia</v>
          </cell>
          <cell r="C505">
            <v>5.4749999999999996</v>
          </cell>
        </row>
        <row r="506">
          <cell r="A506" t="str">
            <v>Turkey</v>
          </cell>
          <cell r="C506">
            <v>66.251999999999995</v>
          </cell>
        </row>
        <row r="507">
          <cell r="A507" t="str">
            <v>Turkmenistan</v>
          </cell>
          <cell r="C507">
            <v>2.79</v>
          </cell>
        </row>
        <row r="508">
          <cell r="A508" t="str">
            <v>United Arab Emirates</v>
          </cell>
          <cell r="C508">
            <v>11.372999999999999</v>
          </cell>
        </row>
        <row r="509">
          <cell r="A509" t="str">
            <v>Uganda</v>
          </cell>
          <cell r="C509">
            <v>3.532</v>
          </cell>
        </row>
        <row r="510">
          <cell r="A510" t="str">
            <v>Ukraine</v>
          </cell>
          <cell r="C510">
            <v>5.8</v>
          </cell>
        </row>
        <row r="511">
          <cell r="A511" t="str">
            <v>United Kingdom</v>
          </cell>
          <cell r="C511">
            <v>11.771000000000001</v>
          </cell>
        </row>
        <row r="512">
          <cell r="A512" t="str">
            <v>United States</v>
          </cell>
          <cell r="C512">
            <v>107.602</v>
          </cell>
        </row>
        <row r="513">
          <cell r="A513" t="str">
            <v>Uruguay</v>
          </cell>
          <cell r="C513">
            <v>0.95399999999999996</v>
          </cell>
        </row>
        <row r="514">
          <cell r="A514" t="str">
            <v>Uzbekistan</v>
          </cell>
          <cell r="C514">
            <v>14.234999999999999</v>
          </cell>
        </row>
        <row r="515">
          <cell r="A515" t="str">
            <v>Venezuela</v>
          </cell>
          <cell r="C515">
            <v>1.45</v>
          </cell>
        </row>
        <row r="516">
          <cell r="A516" t="str">
            <v>Vietnam</v>
          </cell>
          <cell r="C516">
            <v>60.642000000000003</v>
          </cell>
        </row>
        <row r="517">
          <cell r="A517" t="str">
            <v>Yemen</v>
          </cell>
          <cell r="C517">
            <v>2.645</v>
          </cell>
        </row>
        <row r="518">
          <cell r="A518" t="str">
            <v>Yugoslavia</v>
          </cell>
          <cell r="C518">
            <v>0</v>
          </cell>
        </row>
        <row r="519">
          <cell r="A519" t="str">
            <v>Zambia</v>
          </cell>
          <cell r="C519">
            <v>2.2000000000000002</v>
          </cell>
        </row>
        <row r="520">
          <cell r="A520" t="str">
            <v>Zimbabwe</v>
          </cell>
          <cell r="C520">
            <v>1.75</v>
          </cell>
        </row>
        <row r="521">
          <cell r="A521" t="str">
            <v>Afghanistan</v>
          </cell>
          <cell r="C521">
            <v>3.59</v>
          </cell>
        </row>
        <row r="522">
          <cell r="A522" t="str">
            <v>Albania</v>
          </cell>
          <cell r="C522">
            <v>2.0099999999999998</v>
          </cell>
        </row>
        <row r="523">
          <cell r="A523" t="str">
            <v>Algeria</v>
          </cell>
          <cell r="C523">
            <v>17.998999999999999</v>
          </cell>
        </row>
        <row r="524">
          <cell r="A524" t="str">
            <v>Angola</v>
          </cell>
          <cell r="C524">
            <v>3.5</v>
          </cell>
        </row>
        <row r="525">
          <cell r="A525" t="str">
            <v>Argentina</v>
          </cell>
          <cell r="C525">
            <v>12.988</v>
          </cell>
        </row>
        <row r="526">
          <cell r="A526" t="str">
            <v>Armenia</v>
          </cell>
          <cell r="C526">
            <v>1.51</v>
          </cell>
        </row>
        <row r="527">
          <cell r="A527" t="str">
            <v>Australia</v>
          </cell>
          <cell r="C527">
            <v>12.51</v>
          </cell>
        </row>
        <row r="528">
          <cell r="A528" t="str">
            <v>Austria</v>
          </cell>
          <cell r="C528">
            <v>6.58</v>
          </cell>
        </row>
        <row r="529">
          <cell r="A529" t="str">
            <v>Azerbaijan</v>
          </cell>
          <cell r="C529">
            <v>3.71</v>
          </cell>
        </row>
        <row r="530">
          <cell r="A530" t="str">
            <v>Bahrain</v>
          </cell>
          <cell r="C530">
            <v>1.577</v>
          </cell>
        </row>
        <row r="531">
          <cell r="A531" t="str">
            <v>Bangladesh</v>
          </cell>
          <cell r="C531">
            <v>42.37</v>
          </cell>
        </row>
        <row r="532">
          <cell r="A532" t="str">
            <v>Belarus</v>
          </cell>
          <cell r="C532">
            <v>3.2749999999999999</v>
          </cell>
        </row>
        <row r="533">
          <cell r="A533" t="str">
            <v>Belgium</v>
          </cell>
          <cell r="C533">
            <v>7.1870000000000003</v>
          </cell>
        </row>
        <row r="534">
          <cell r="A534" t="str">
            <v>Belize</v>
          </cell>
          <cell r="C534">
            <v>0.34399999999999997</v>
          </cell>
        </row>
        <row r="535">
          <cell r="A535" t="str">
            <v>Benin</v>
          </cell>
          <cell r="C535">
            <v>2.9809999999999999</v>
          </cell>
        </row>
        <row r="536">
          <cell r="A536" t="str">
            <v>Bhutan</v>
          </cell>
          <cell r="C536">
            <v>0.68300000000000005</v>
          </cell>
        </row>
        <row r="537">
          <cell r="A537" t="str">
            <v>Bolivia</v>
          </cell>
          <cell r="C537">
            <v>3.9660000000000002</v>
          </cell>
        </row>
        <row r="538">
          <cell r="A538" t="str">
            <v>Bosnia Herzegovina</v>
          </cell>
          <cell r="C538">
            <v>1.28</v>
          </cell>
        </row>
        <row r="539">
          <cell r="A539" t="str">
            <v>Botswana</v>
          </cell>
          <cell r="C539">
            <v>0.72499999999999998</v>
          </cell>
        </row>
        <row r="540">
          <cell r="A540" t="str">
            <v>Brazil</v>
          </cell>
          <cell r="C540">
            <v>63.24</v>
          </cell>
        </row>
        <row r="541">
          <cell r="A541" t="str">
            <v>Brunei</v>
          </cell>
          <cell r="C541">
            <v>0.38600000000000001</v>
          </cell>
        </row>
        <row r="542">
          <cell r="A542" t="str">
            <v>Bulgaria</v>
          </cell>
          <cell r="C542">
            <v>2.88</v>
          </cell>
        </row>
        <row r="543">
          <cell r="A543" t="str">
            <v>Burkina Faso</v>
          </cell>
          <cell r="C543">
            <v>3.5310000000000001</v>
          </cell>
        </row>
        <row r="544">
          <cell r="A544" t="str">
            <v>Burundi</v>
          </cell>
          <cell r="C544">
            <v>0.3</v>
          </cell>
        </row>
        <row r="545">
          <cell r="A545" t="str">
            <v>Cabo Verde</v>
          </cell>
          <cell r="C545">
            <v>0.27200000000000002</v>
          </cell>
        </row>
        <row r="546">
          <cell r="A546" t="str">
            <v>Cambodia</v>
          </cell>
          <cell r="C546">
            <v>8.9</v>
          </cell>
        </row>
        <row r="547">
          <cell r="A547" t="str">
            <v>Cameroon</v>
          </cell>
          <cell r="C547">
            <v>4.6580000000000004</v>
          </cell>
        </row>
        <row r="548">
          <cell r="A548" t="str">
            <v>Canada</v>
          </cell>
          <cell r="C548">
            <v>10.449</v>
          </cell>
        </row>
        <row r="549">
          <cell r="A549" t="str">
            <v>Caribbean</v>
          </cell>
          <cell r="C549">
            <v>10.125</v>
          </cell>
        </row>
        <row r="550">
          <cell r="A550" t="str">
            <v>Chad</v>
          </cell>
          <cell r="C550">
            <v>1.0449999999999999</v>
          </cell>
        </row>
        <row r="551">
          <cell r="A551" t="str">
            <v>Chile</v>
          </cell>
          <cell r="C551">
            <v>3.9769999999999999</v>
          </cell>
        </row>
        <row r="552">
          <cell r="A552" t="str">
            <v>China</v>
          </cell>
          <cell r="C552">
            <v>2001.7840000000001</v>
          </cell>
        </row>
        <row r="553">
          <cell r="A553" t="str">
            <v>Colombia</v>
          </cell>
          <cell r="C553">
            <v>14.256</v>
          </cell>
        </row>
        <row r="554">
          <cell r="A554" t="str">
            <v>Comoros</v>
          </cell>
          <cell r="C554">
            <v>0.28599999999999998</v>
          </cell>
        </row>
        <row r="555">
          <cell r="A555" t="str">
            <v>Congo - Dem. Republic</v>
          </cell>
          <cell r="C555">
            <v>3.2050000000000001</v>
          </cell>
        </row>
        <row r="556">
          <cell r="A556" t="str">
            <v>Congo - Republic</v>
          </cell>
          <cell r="C556">
            <v>0.86</v>
          </cell>
        </row>
        <row r="557">
          <cell r="A557" t="str">
            <v>Costa Rica</v>
          </cell>
          <cell r="C557">
            <v>1.0429999999999999</v>
          </cell>
        </row>
        <row r="558">
          <cell r="A558" t="str">
            <v>Côte d'Ivoire</v>
          </cell>
          <cell r="C558">
            <v>6.9470000000000001</v>
          </cell>
        </row>
        <row r="559">
          <cell r="A559" t="str">
            <v>Croatia</v>
          </cell>
          <cell r="C559">
            <v>1.76</v>
          </cell>
        </row>
        <row r="560">
          <cell r="A560" t="str">
            <v>Cuba</v>
          </cell>
          <cell r="C560">
            <v>0.9</v>
          </cell>
        </row>
        <row r="561">
          <cell r="A561" t="str">
            <v>Cyprus</v>
          </cell>
          <cell r="C561">
            <v>1.43</v>
          </cell>
        </row>
        <row r="562">
          <cell r="A562" t="str">
            <v>Czech Republic</v>
          </cell>
          <cell r="C562">
            <v>4.5609999999999999</v>
          </cell>
        </row>
        <row r="563">
          <cell r="A563" t="str">
            <v>Denmark</v>
          </cell>
          <cell r="C563">
            <v>2.0070000000000001</v>
          </cell>
        </row>
        <row r="564">
          <cell r="A564" t="str">
            <v>Djibouti</v>
          </cell>
          <cell r="C564">
            <v>0.35399999999999998</v>
          </cell>
        </row>
        <row r="565">
          <cell r="A565" t="str">
            <v>Ecuador</v>
          </cell>
          <cell r="C565">
            <v>5.7969999999999997</v>
          </cell>
        </row>
        <row r="566">
          <cell r="A566" t="str">
            <v>Egypt</v>
          </cell>
          <cell r="C566">
            <v>50.43</v>
          </cell>
        </row>
        <row r="567">
          <cell r="A567" t="str">
            <v>El Salvador</v>
          </cell>
          <cell r="C567">
            <v>1.93</v>
          </cell>
        </row>
        <row r="568">
          <cell r="A568" t="str">
            <v>Equatorial Guinea</v>
          </cell>
          <cell r="C568">
            <v>0.26</v>
          </cell>
        </row>
        <row r="569">
          <cell r="A569" t="str">
            <v>Eritrea</v>
          </cell>
          <cell r="C569">
            <v>0.66</v>
          </cell>
        </row>
        <row r="570">
          <cell r="A570" t="str">
            <v>Estonia</v>
          </cell>
          <cell r="C570">
            <v>0.46700000000000003</v>
          </cell>
        </row>
        <row r="571">
          <cell r="A571" t="str">
            <v>Eswatini</v>
          </cell>
          <cell r="C571">
            <v>0.29699999999999999</v>
          </cell>
        </row>
        <row r="572">
          <cell r="A572" t="str">
            <v>Ethiopia</v>
          </cell>
          <cell r="C572">
            <v>10.7</v>
          </cell>
        </row>
        <row r="573">
          <cell r="A573" t="str">
            <v>Fiji</v>
          </cell>
          <cell r="C573">
            <v>0.185</v>
          </cell>
        </row>
        <row r="574">
          <cell r="A574" t="str">
            <v>Finland</v>
          </cell>
          <cell r="C574">
            <v>2.0489999999999999</v>
          </cell>
        </row>
        <row r="575">
          <cell r="A575" t="str">
            <v>France</v>
          </cell>
          <cell r="C575">
            <v>18.55</v>
          </cell>
        </row>
        <row r="576">
          <cell r="A576" t="str">
            <v>Gabon</v>
          </cell>
          <cell r="C576">
            <v>0.60399999999999998</v>
          </cell>
        </row>
        <row r="577">
          <cell r="A577" t="str">
            <v>Gambia</v>
          </cell>
          <cell r="C577">
            <v>0.86599999999999999</v>
          </cell>
        </row>
        <row r="578">
          <cell r="A578" t="str">
            <v>Georgia</v>
          </cell>
          <cell r="C578">
            <v>3.2789999999999999</v>
          </cell>
        </row>
        <row r="579">
          <cell r="A579" t="str">
            <v>Germany</v>
          </cell>
          <cell r="C579">
            <v>25.042000000000002</v>
          </cell>
        </row>
        <row r="580">
          <cell r="A580" t="str">
            <v>Ghana</v>
          </cell>
          <cell r="C580">
            <v>8.2330000000000005</v>
          </cell>
        </row>
        <row r="581">
          <cell r="A581" t="str">
            <v>Greece</v>
          </cell>
          <cell r="C581">
            <v>3.5049999999999999</v>
          </cell>
        </row>
        <row r="582">
          <cell r="A582" t="str">
            <v>Guatemala</v>
          </cell>
          <cell r="C582">
            <v>5.21</v>
          </cell>
        </row>
        <row r="583">
          <cell r="A583" t="str">
            <v>Guinea</v>
          </cell>
          <cell r="C583">
            <v>2.13</v>
          </cell>
        </row>
        <row r="584">
          <cell r="A584" t="str">
            <v>Guinea-Bissau</v>
          </cell>
          <cell r="C584">
            <v>0.123</v>
          </cell>
        </row>
        <row r="585">
          <cell r="A585" t="str">
            <v>Honduras</v>
          </cell>
          <cell r="C585">
            <v>2.145</v>
          </cell>
        </row>
        <row r="586">
          <cell r="A586" t="str">
            <v>Hong Kong</v>
          </cell>
          <cell r="C586">
            <v>5.61</v>
          </cell>
        </row>
        <row r="587">
          <cell r="A587" t="str">
            <v>Hungary</v>
          </cell>
          <cell r="C587">
            <v>3.7850000000000001</v>
          </cell>
        </row>
        <row r="588">
          <cell r="A588" t="str">
            <v>Iceland</v>
          </cell>
          <cell r="C588">
            <v>0.223</v>
          </cell>
        </row>
        <row r="589">
          <cell r="A589" t="str">
            <v>India</v>
          </cell>
          <cell r="C589">
            <v>451.40100000000001</v>
          </cell>
        </row>
        <row r="590">
          <cell r="A590" t="str">
            <v>Indonesia</v>
          </cell>
          <cell r="C590">
            <v>65.075999999999993</v>
          </cell>
        </row>
        <row r="591">
          <cell r="A591" t="str">
            <v>Iran</v>
          </cell>
          <cell r="C591">
            <v>63.387999999999998</v>
          </cell>
        </row>
        <row r="592">
          <cell r="A592" t="str">
            <v>Iraq</v>
          </cell>
          <cell r="C592">
            <v>37.9</v>
          </cell>
        </row>
        <row r="593">
          <cell r="A593" t="str">
            <v>Ireland</v>
          </cell>
          <cell r="C593">
            <v>2.4820000000000002</v>
          </cell>
        </row>
        <row r="594">
          <cell r="A594" t="str">
            <v>Israel</v>
          </cell>
          <cell r="C594">
            <v>6.1909999999999998</v>
          </cell>
        </row>
        <row r="595">
          <cell r="A595" t="str">
            <v>Italy</v>
          </cell>
          <cell r="C595">
            <v>18.434999999999999</v>
          </cell>
        </row>
        <row r="596">
          <cell r="A596" t="str">
            <v>Japan</v>
          </cell>
          <cell r="C596">
            <v>35.6</v>
          </cell>
        </row>
        <row r="597">
          <cell r="A597" t="str">
            <v>Jordan</v>
          </cell>
          <cell r="C597">
            <v>3.35</v>
          </cell>
        </row>
        <row r="598">
          <cell r="A598" t="str">
            <v>Kazakhstan</v>
          </cell>
          <cell r="C598">
            <v>11.35</v>
          </cell>
        </row>
        <row r="599">
          <cell r="A599" t="str">
            <v>Kenya</v>
          </cell>
          <cell r="C599">
            <v>9.3000000000000007</v>
          </cell>
        </row>
        <row r="600">
          <cell r="A600" t="str">
            <v>Kosovo</v>
          </cell>
          <cell r="C600">
            <v>1.355</v>
          </cell>
        </row>
        <row r="601">
          <cell r="A601" t="str">
            <v>Kuwait</v>
          </cell>
          <cell r="C601">
            <v>6</v>
          </cell>
        </row>
        <row r="602">
          <cell r="A602" t="str">
            <v>Kyrgyz Republic</v>
          </cell>
          <cell r="C602">
            <v>2.9580000000000002</v>
          </cell>
        </row>
        <row r="603">
          <cell r="A603" t="str">
            <v>Laos</v>
          </cell>
          <cell r="C603">
            <v>6.2</v>
          </cell>
        </row>
        <row r="604">
          <cell r="A604" t="str">
            <v>Latvia</v>
          </cell>
          <cell r="C604">
            <v>0.51</v>
          </cell>
        </row>
        <row r="605">
          <cell r="A605" t="str">
            <v>Lebanon</v>
          </cell>
          <cell r="C605">
            <v>2.19</v>
          </cell>
        </row>
        <row r="606">
          <cell r="A606" t="str">
            <v>Lesotho</v>
          </cell>
          <cell r="C606">
            <v>0.25</v>
          </cell>
        </row>
        <row r="607">
          <cell r="A607" t="str">
            <v>Liberia</v>
          </cell>
          <cell r="C607">
            <v>0.75700000000000001</v>
          </cell>
        </row>
        <row r="608">
          <cell r="A608" t="str">
            <v>Libya</v>
          </cell>
          <cell r="C608">
            <v>10.199999999999999</v>
          </cell>
        </row>
        <row r="609">
          <cell r="A609" t="str">
            <v>Lithuania</v>
          </cell>
          <cell r="C609">
            <v>1.0900000000000001</v>
          </cell>
        </row>
        <row r="610">
          <cell r="A610" t="str">
            <v>Luxembourg</v>
          </cell>
          <cell r="C610">
            <v>0.64700000000000002</v>
          </cell>
        </row>
        <row r="611">
          <cell r="A611" t="str">
            <v>Macau</v>
          </cell>
          <cell r="C611">
            <v>0.54</v>
          </cell>
        </row>
        <row r="612">
          <cell r="A612" t="str">
            <v>Madagascar</v>
          </cell>
          <cell r="C612">
            <v>1.238</v>
          </cell>
        </row>
        <row r="613">
          <cell r="A613" t="str">
            <v>Malawi</v>
          </cell>
          <cell r="C613">
            <v>0.877</v>
          </cell>
        </row>
        <row r="614">
          <cell r="A614" t="str">
            <v>Malaysia</v>
          </cell>
          <cell r="C614">
            <v>20.39</v>
          </cell>
        </row>
        <row r="615">
          <cell r="A615" t="str">
            <v>Mali</v>
          </cell>
          <cell r="C615">
            <v>3.54</v>
          </cell>
        </row>
        <row r="616">
          <cell r="A616" t="str">
            <v>Malta</v>
          </cell>
          <cell r="C616">
            <v>0.53</v>
          </cell>
        </row>
        <row r="617">
          <cell r="A617" t="str">
            <v>Mauritania</v>
          </cell>
          <cell r="C617">
            <v>1.833</v>
          </cell>
        </row>
        <row r="618">
          <cell r="A618" t="str">
            <v>Mauritius</v>
          </cell>
          <cell r="C618">
            <v>0.83499999999999996</v>
          </cell>
        </row>
        <row r="619">
          <cell r="A619" t="str">
            <v>Mexico</v>
          </cell>
          <cell r="C619">
            <v>43.649000000000001</v>
          </cell>
        </row>
        <row r="620">
          <cell r="A620" t="str">
            <v>Moldova</v>
          </cell>
          <cell r="C620">
            <v>0.98</v>
          </cell>
        </row>
        <row r="621">
          <cell r="A621" t="str">
            <v>Mongolia</v>
          </cell>
          <cell r="C621">
            <v>1.375</v>
          </cell>
        </row>
        <row r="622">
          <cell r="A622" t="str">
            <v>Montenegro</v>
          </cell>
          <cell r="C622">
            <v>0.33400000000000002</v>
          </cell>
        </row>
        <row r="623">
          <cell r="A623" t="str">
            <v>Morocco</v>
          </cell>
          <cell r="C623">
            <v>13.785</v>
          </cell>
        </row>
        <row r="624">
          <cell r="A624" t="str">
            <v>Mozambique</v>
          </cell>
          <cell r="C624">
            <v>3</v>
          </cell>
        </row>
        <row r="625">
          <cell r="A625" t="str">
            <v>Myanmar</v>
          </cell>
          <cell r="C625">
            <v>8.75</v>
          </cell>
        </row>
        <row r="626">
          <cell r="A626" t="str">
            <v>Namibia</v>
          </cell>
          <cell r="C626">
            <v>0.56000000000000005</v>
          </cell>
        </row>
        <row r="627">
          <cell r="A627" t="str">
            <v>Nepal</v>
          </cell>
          <cell r="C627">
            <v>8</v>
          </cell>
        </row>
        <row r="628">
          <cell r="A628" t="str">
            <v>Netherlands</v>
          </cell>
          <cell r="C628">
            <v>5.2519999999999998</v>
          </cell>
        </row>
        <row r="629">
          <cell r="A629" t="str">
            <v>New Zealand</v>
          </cell>
          <cell r="C629">
            <v>1.7150000000000001</v>
          </cell>
        </row>
        <row r="630">
          <cell r="A630" t="str">
            <v>Nicaragua</v>
          </cell>
          <cell r="C630">
            <v>0.92300000000000004</v>
          </cell>
        </row>
        <row r="631">
          <cell r="A631" t="str">
            <v>Niger</v>
          </cell>
          <cell r="C631">
            <v>1.1339999999999999</v>
          </cell>
        </row>
        <row r="632">
          <cell r="A632" t="str">
            <v>Nigeria</v>
          </cell>
          <cell r="C632">
            <v>32.962000000000003</v>
          </cell>
        </row>
        <row r="633">
          <cell r="A633" t="str">
            <v>North Korea</v>
          </cell>
          <cell r="C633">
            <v>6.4589999999999996</v>
          </cell>
        </row>
        <row r="634">
          <cell r="A634" t="str">
            <v>North Macedonia</v>
          </cell>
          <cell r="C634">
            <v>0.98</v>
          </cell>
        </row>
        <row r="635">
          <cell r="A635" t="str">
            <v>Norway</v>
          </cell>
          <cell r="C635">
            <v>2.04</v>
          </cell>
        </row>
        <row r="636">
          <cell r="A636" t="str">
            <v>Oman</v>
          </cell>
          <cell r="C636">
            <v>8.2940000000000005</v>
          </cell>
        </row>
        <row r="637">
          <cell r="A637" t="str">
            <v>Pakistan</v>
          </cell>
          <cell r="C637">
            <v>44.1</v>
          </cell>
        </row>
        <row r="638">
          <cell r="A638" t="str">
            <v>Palestine</v>
          </cell>
          <cell r="C638">
            <v>1.1000000000000001</v>
          </cell>
        </row>
        <row r="639">
          <cell r="A639" t="str">
            <v>Panama</v>
          </cell>
          <cell r="C639">
            <v>1.1619999999999999</v>
          </cell>
        </row>
        <row r="640">
          <cell r="A640" t="str">
            <v>Papua New Guinea</v>
          </cell>
          <cell r="C640">
            <v>0.42499999999999999</v>
          </cell>
        </row>
        <row r="641">
          <cell r="A641" t="str">
            <v>Paraguay</v>
          </cell>
          <cell r="C641">
            <v>1.89</v>
          </cell>
        </row>
        <row r="642">
          <cell r="A642" t="str">
            <v>Peru</v>
          </cell>
          <cell r="C642">
            <v>13.04</v>
          </cell>
        </row>
        <row r="643">
          <cell r="A643" t="str">
            <v>Philippines</v>
          </cell>
          <cell r="C643">
            <v>37</v>
          </cell>
        </row>
        <row r="644">
          <cell r="A644" t="str">
            <v>Poland</v>
          </cell>
          <cell r="C644">
            <v>18.600000000000001</v>
          </cell>
        </row>
        <row r="645">
          <cell r="A645" t="str">
            <v>Portugal</v>
          </cell>
          <cell r="C645">
            <v>4.5229999999999997</v>
          </cell>
        </row>
        <row r="646">
          <cell r="A646" t="str">
            <v>Puerto Rico</v>
          </cell>
          <cell r="C646">
            <v>0.64700000000000002</v>
          </cell>
        </row>
        <row r="647">
          <cell r="A647" t="str">
            <v>Qatar</v>
          </cell>
          <cell r="C647">
            <v>5.7</v>
          </cell>
        </row>
        <row r="648">
          <cell r="A648" t="str">
            <v>Reunion</v>
          </cell>
          <cell r="C648">
            <v>0.45400000000000001</v>
          </cell>
        </row>
        <row r="649">
          <cell r="A649" t="str">
            <v>Romania</v>
          </cell>
          <cell r="C649">
            <v>11.367000000000001</v>
          </cell>
        </row>
        <row r="650">
          <cell r="A650" t="str">
            <v>Russia</v>
          </cell>
          <cell r="C650">
            <v>64.2</v>
          </cell>
        </row>
        <row r="651">
          <cell r="A651" t="str">
            <v>Rwanda</v>
          </cell>
          <cell r="C651">
            <v>1.08</v>
          </cell>
        </row>
        <row r="652">
          <cell r="A652" t="str">
            <v>Saudi Arabia</v>
          </cell>
          <cell r="C652">
            <v>52.709000000000003</v>
          </cell>
        </row>
        <row r="653">
          <cell r="A653" t="str">
            <v>Senegal</v>
          </cell>
          <cell r="C653">
            <v>7.2750000000000004</v>
          </cell>
        </row>
        <row r="654">
          <cell r="A654" t="str">
            <v>Serbia</v>
          </cell>
          <cell r="C654">
            <v>3.1949999999999998</v>
          </cell>
        </row>
        <row r="655">
          <cell r="A655" t="str">
            <v>Seychelles</v>
          </cell>
          <cell r="C655">
            <v>7.2999999999999995E-2</v>
          </cell>
        </row>
        <row r="656">
          <cell r="A656" t="str">
            <v>Sierra Leone</v>
          </cell>
          <cell r="C656">
            <v>1.0840000000000001</v>
          </cell>
        </row>
        <row r="657">
          <cell r="A657" t="str">
            <v>Singapore</v>
          </cell>
          <cell r="C657">
            <v>4.4000000000000004</v>
          </cell>
        </row>
        <row r="658">
          <cell r="A658" t="str">
            <v>Slovakia</v>
          </cell>
          <cell r="C658">
            <v>2.39</v>
          </cell>
        </row>
        <row r="659">
          <cell r="A659" t="str">
            <v>Slovenia</v>
          </cell>
          <cell r="C659">
            <v>1.22</v>
          </cell>
        </row>
        <row r="660">
          <cell r="A660" t="str">
            <v>Somalia</v>
          </cell>
          <cell r="C660">
            <v>0.84199999999999997</v>
          </cell>
        </row>
        <row r="661">
          <cell r="A661" t="str">
            <v>South Africa</v>
          </cell>
          <cell r="C661">
            <v>13.379</v>
          </cell>
        </row>
        <row r="662">
          <cell r="A662" t="str">
            <v>South Korea</v>
          </cell>
          <cell r="C662">
            <v>49.5</v>
          </cell>
        </row>
        <row r="663">
          <cell r="A663" t="str">
            <v>South Sudan</v>
          </cell>
          <cell r="C663">
            <v>1.4570000000000001</v>
          </cell>
        </row>
        <row r="664">
          <cell r="A664" t="str">
            <v>Spain</v>
          </cell>
          <cell r="C664">
            <v>15.957000000000001</v>
          </cell>
        </row>
        <row r="665">
          <cell r="A665" t="str">
            <v>Sri Lanka</v>
          </cell>
          <cell r="C665">
            <v>3.6</v>
          </cell>
        </row>
        <row r="666">
          <cell r="A666" t="str">
            <v>Sudan</v>
          </cell>
          <cell r="C666">
            <v>4.0999999999999996</v>
          </cell>
        </row>
        <row r="667">
          <cell r="A667" t="str">
            <v>Suriname</v>
          </cell>
          <cell r="C667">
            <v>0.17100000000000001</v>
          </cell>
        </row>
        <row r="668">
          <cell r="A668" t="str">
            <v>Sweden</v>
          </cell>
          <cell r="C668">
            <v>2.89</v>
          </cell>
        </row>
        <row r="669">
          <cell r="A669" t="str">
            <v>Switzerland</v>
          </cell>
          <cell r="C669">
            <v>4.3929999999999998</v>
          </cell>
        </row>
        <row r="670">
          <cell r="A670" t="str">
            <v>Syria</v>
          </cell>
          <cell r="C670">
            <v>5.58</v>
          </cell>
        </row>
        <row r="671">
          <cell r="A671" t="str">
            <v>Taiwan</v>
          </cell>
          <cell r="C671">
            <v>9.99</v>
          </cell>
        </row>
        <row r="672">
          <cell r="A672" t="str">
            <v>Tajikistan</v>
          </cell>
          <cell r="C672">
            <v>3.1</v>
          </cell>
        </row>
        <row r="673">
          <cell r="A673" t="str">
            <v>Tanzania</v>
          </cell>
          <cell r="C673">
            <v>8.1999999999999993</v>
          </cell>
        </row>
        <row r="674">
          <cell r="A674" t="str">
            <v>Thailand</v>
          </cell>
          <cell r="C674">
            <v>26.8</v>
          </cell>
        </row>
        <row r="675">
          <cell r="A675" t="str">
            <v>Timor-Leste</v>
          </cell>
          <cell r="C675">
            <v>0.35499999999999998</v>
          </cell>
        </row>
        <row r="676">
          <cell r="A676" t="str">
            <v>Togo</v>
          </cell>
          <cell r="C676">
            <v>2.4889999999999999</v>
          </cell>
        </row>
        <row r="677">
          <cell r="A677" t="str">
            <v>Trinidad and Tobago</v>
          </cell>
          <cell r="C677">
            <v>0</v>
          </cell>
        </row>
        <row r="678">
          <cell r="A678" t="str">
            <v>Tunisia</v>
          </cell>
          <cell r="C678">
            <v>5.5709999999999997</v>
          </cell>
        </row>
        <row r="679">
          <cell r="A679" t="str">
            <v>Turkey</v>
          </cell>
          <cell r="C679">
            <v>69.100999999999999</v>
          </cell>
        </row>
        <row r="680">
          <cell r="A680" t="str">
            <v>Turkmenistan</v>
          </cell>
          <cell r="C680">
            <v>2.95</v>
          </cell>
        </row>
        <row r="681">
          <cell r="A681" t="str">
            <v>United Arab Emirates</v>
          </cell>
          <cell r="C681">
            <v>11.577999999999999</v>
          </cell>
        </row>
        <row r="682">
          <cell r="A682" t="str">
            <v>Uganda</v>
          </cell>
          <cell r="C682">
            <v>3.7549999999999999</v>
          </cell>
        </row>
        <row r="683">
          <cell r="A683" t="str">
            <v>Ukraine</v>
          </cell>
          <cell r="C683">
            <v>6.3949999999999996</v>
          </cell>
        </row>
        <row r="684">
          <cell r="A684" t="str">
            <v>United Kingdom</v>
          </cell>
          <cell r="C684">
            <v>11.853999999999999</v>
          </cell>
        </row>
        <row r="685">
          <cell r="A685" t="str">
            <v>United States</v>
          </cell>
          <cell r="C685">
            <v>109.754</v>
          </cell>
        </row>
        <row r="686">
          <cell r="A686" t="str">
            <v>Uruguay</v>
          </cell>
          <cell r="C686">
            <v>0.97099999999999997</v>
          </cell>
        </row>
        <row r="687">
          <cell r="A687" t="str">
            <v>Uzbekistan</v>
          </cell>
          <cell r="C687">
            <v>14.785</v>
          </cell>
        </row>
        <row r="688">
          <cell r="A688" t="str">
            <v>Venezuela</v>
          </cell>
          <cell r="C688">
            <v>1.57</v>
          </cell>
        </row>
        <row r="689">
          <cell r="A689" t="str">
            <v>Vietnam</v>
          </cell>
          <cell r="C689">
            <v>59.975000000000001</v>
          </cell>
        </row>
        <row r="690">
          <cell r="A690" t="str">
            <v>Yemen</v>
          </cell>
          <cell r="C690">
            <v>2.9169999999999998</v>
          </cell>
        </row>
        <row r="691">
          <cell r="A691" t="str">
            <v>Yugoslavia</v>
          </cell>
          <cell r="C691">
            <v>0</v>
          </cell>
        </row>
        <row r="692">
          <cell r="A692" t="str">
            <v>Zambia</v>
          </cell>
          <cell r="C692">
            <v>2.25</v>
          </cell>
        </row>
        <row r="693">
          <cell r="A693" t="str">
            <v>Zimbabwe</v>
          </cell>
          <cell r="C693">
            <v>1.895</v>
          </cell>
        </row>
      </sheetData>
      <sheetData sheetId="20">
        <row r="1">
          <cell r="A1" t="str">
            <v>Country</v>
          </cell>
          <cell r="B1" t="str">
            <v>Length (km) Total</v>
          </cell>
        </row>
        <row r="2">
          <cell r="A2" t="str">
            <v>United States</v>
          </cell>
          <cell r="B2">
            <v>6586610</v>
          </cell>
        </row>
        <row r="3">
          <cell r="A3" t="str">
            <v>India</v>
          </cell>
          <cell r="B3">
            <v>6371847</v>
          </cell>
        </row>
        <row r="4">
          <cell r="A4" t="str">
            <v>China</v>
          </cell>
          <cell r="B4">
            <v>5200000</v>
          </cell>
        </row>
        <row r="5">
          <cell r="A5" t="str">
            <v>Brazil</v>
          </cell>
          <cell r="B5">
            <v>2000000</v>
          </cell>
        </row>
        <row r="6">
          <cell r="A6" t="str">
            <v>Russia</v>
          </cell>
          <cell r="B6">
            <v>1283387</v>
          </cell>
        </row>
        <row r="7">
          <cell r="A7" t="str">
            <v>Japan</v>
          </cell>
          <cell r="B7">
            <v>1218772</v>
          </cell>
        </row>
        <row r="8">
          <cell r="A8" t="str">
            <v>France</v>
          </cell>
          <cell r="B8">
            <v>1053215</v>
          </cell>
        </row>
        <row r="9">
          <cell r="A9" t="str">
            <v>Canada</v>
          </cell>
          <cell r="B9">
            <v>1042300</v>
          </cell>
        </row>
        <row r="10">
          <cell r="A10" t="str">
            <v>Australia</v>
          </cell>
          <cell r="B10">
            <v>873573</v>
          </cell>
        </row>
        <row r="11">
          <cell r="A11" t="str">
            <v>Germany</v>
          </cell>
          <cell r="B11">
            <v>830000</v>
          </cell>
        </row>
        <row r="12">
          <cell r="A12" t="str">
            <v>South Africa</v>
          </cell>
          <cell r="B12">
            <v>750000</v>
          </cell>
        </row>
        <row r="13">
          <cell r="A13" t="str">
            <v>Mexico</v>
          </cell>
          <cell r="B13">
            <v>704884</v>
          </cell>
        </row>
        <row r="14">
          <cell r="A14" t="str">
            <v>Spain</v>
          </cell>
          <cell r="B14">
            <v>683175</v>
          </cell>
        </row>
        <row r="15">
          <cell r="A15" t="str">
            <v>Sweden</v>
          </cell>
          <cell r="B15">
            <v>573134</v>
          </cell>
        </row>
        <row r="16">
          <cell r="A16" t="str">
            <v>Indonesia</v>
          </cell>
          <cell r="B16">
            <v>496607</v>
          </cell>
        </row>
        <row r="17">
          <cell r="A17" t="str">
            <v>Italy</v>
          </cell>
          <cell r="B17">
            <v>487700</v>
          </cell>
        </row>
        <row r="18">
          <cell r="A18" t="str">
            <v>Finland</v>
          </cell>
          <cell r="B18">
            <v>454000</v>
          </cell>
        </row>
        <row r="19">
          <cell r="A19" t="str">
            <v>Poland</v>
          </cell>
          <cell r="B19">
            <v>420000</v>
          </cell>
        </row>
        <row r="20">
          <cell r="A20" t="str">
            <v>United Kingdom</v>
          </cell>
          <cell r="B20">
            <v>394428</v>
          </cell>
        </row>
        <row r="21">
          <cell r="A21" t="str">
            <v>Bangladesh</v>
          </cell>
          <cell r="B21">
            <v>369105</v>
          </cell>
        </row>
        <row r="22">
          <cell r="A22" t="str">
            <v>Argentina</v>
          </cell>
          <cell r="B22">
            <v>281290</v>
          </cell>
        </row>
        <row r="23">
          <cell r="A23" t="str">
            <v>Pakistan</v>
          </cell>
          <cell r="B23">
            <v>264175</v>
          </cell>
        </row>
        <row r="24">
          <cell r="A24" t="str">
            <v>Iran</v>
          </cell>
          <cell r="B24">
            <v>223485</v>
          </cell>
        </row>
        <row r="25">
          <cell r="A25" t="str">
            <v>Saudi Arabia</v>
          </cell>
          <cell r="B25">
            <v>221372</v>
          </cell>
        </row>
        <row r="26">
          <cell r="A26" t="str">
            <v>Philippines</v>
          </cell>
          <cell r="B26">
            <v>216387</v>
          </cell>
        </row>
        <row r="27">
          <cell r="A27" t="str">
            <v>Colombia</v>
          </cell>
          <cell r="B27">
            <v>205379</v>
          </cell>
        </row>
        <row r="28">
          <cell r="A28" t="str">
            <v>Hungary</v>
          </cell>
          <cell r="B28">
            <v>203601</v>
          </cell>
        </row>
        <row r="29">
          <cell r="A29" t="str">
            <v>Vietnam</v>
          </cell>
          <cell r="B29">
            <v>195468</v>
          </cell>
        </row>
        <row r="30">
          <cell r="A30" t="str">
            <v>Nigeria</v>
          </cell>
          <cell r="B30">
            <v>195000</v>
          </cell>
        </row>
        <row r="31">
          <cell r="A31" t="str">
            <v>Thailand</v>
          </cell>
          <cell r="B31">
            <v>180053</v>
          </cell>
        </row>
        <row r="32">
          <cell r="A32" t="str">
            <v>Ukraine</v>
          </cell>
          <cell r="B32">
            <v>169694</v>
          </cell>
        </row>
        <row r="33">
          <cell r="A33" t="str">
            <v>Kenya</v>
          </cell>
          <cell r="B33">
            <v>161452</v>
          </cell>
        </row>
        <row r="34">
          <cell r="A34" t="str">
            <v>DR Congo</v>
          </cell>
          <cell r="B34">
            <v>152373</v>
          </cell>
        </row>
        <row r="35">
          <cell r="A35" t="str">
            <v>Tanzania</v>
          </cell>
          <cell r="B35">
            <v>145203</v>
          </cell>
        </row>
        <row r="36">
          <cell r="A36" t="str">
            <v>Malaysia</v>
          </cell>
          <cell r="B36">
            <v>144403</v>
          </cell>
        </row>
        <row r="37">
          <cell r="A37" t="str">
            <v>Netherlands</v>
          </cell>
          <cell r="B37">
            <v>139124</v>
          </cell>
        </row>
        <row r="38">
          <cell r="A38" t="str">
            <v>Mali</v>
          </cell>
          <cell r="B38">
            <v>139107</v>
          </cell>
        </row>
        <row r="39">
          <cell r="A39" t="str">
            <v>Austria</v>
          </cell>
          <cell r="B39">
            <v>137039</v>
          </cell>
        </row>
        <row r="40">
          <cell r="A40" t="str">
            <v>Ethiopia</v>
          </cell>
          <cell r="B40">
            <v>120171</v>
          </cell>
        </row>
        <row r="41">
          <cell r="A41" t="str">
            <v>Belgium</v>
          </cell>
          <cell r="B41">
            <v>118414</v>
          </cell>
        </row>
        <row r="42">
          <cell r="A42" t="str">
            <v>Portugal</v>
          </cell>
          <cell r="B42">
            <v>136635</v>
          </cell>
        </row>
        <row r="43">
          <cell r="A43" t="str">
            <v>Greece</v>
          </cell>
          <cell r="B43">
            <v>117000</v>
          </cell>
        </row>
        <row r="44">
          <cell r="A44" t="str">
            <v>Sri Lanka</v>
          </cell>
          <cell r="B44">
            <v>114093</v>
          </cell>
        </row>
        <row r="45">
          <cell r="A45" t="str">
            <v>Mongolia</v>
          </cell>
          <cell r="B45">
            <v>113200</v>
          </cell>
        </row>
        <row r="46">
          <cell r="A46" t="str">
            <v>Algeria</v>
          </cell>
          <cell r="B46">
            <v>104000</v>
          </cell>
        </row>
        <row r="47">
          <cell r="A47" t="str">
            <v>South Korea</v>
          </cell>
          <cell r="B47">
            <v>100428</v>
          </cell>
        </row>
        <row r="48">
          <cell r="A48" t="str">
            <v>Ireland</v>
          </cell>
          <cell r="B48">
            <v>99830</v>
          </cell>
        </row>
        <row r="49">
          <cell r="A49" t="str">
            <v>Zimbabwe</v>
          </cell>
          <cell r="B49">
            <v>97267</v>
          </cell>
        </row>
        <row r="50">
          <cell r="A50" t="str">
            <v>Venezuela</v>
          </cell>
          <cell r="B50">
            <v>96189</v>
          </cell>
        </row>
        <row r="51">
          <cell r="A51" t="str">
            <v>Kazakhstan</v>
          </cell>
          <cell r="B51">
            <v>96167</v>
          </cell>
        </row>
        <row r="52">
          <cell r="A52" t="str">
            <v>Norway</v>
          </cell>
          <cell r="B52">
            <v>94902</v>
          </cell>
        </row>
        <row r="53">
          <cell r="A53" t="str">
            <v>New Zealand</v>
          </cell>
          <cell r="B53">
            <v>94000</v>
          </cell>
        </row>
        <row r="54">
          <cell r="A54" t="str">
            <v>Bolivia</v>
          </cell>
          <cell r="B54">
            <v>90568</v>
          </cell>
        </row>
        <row r="55">
          <cell r="A55" t="str">
            <v>South Sudan</v>
          </cell>
          <cell r="B55">
            <v>90200</v>
          </cell>
        </row>
        <row r="56">
          <cell r="A56" t="str">
            <v>Belarus</v>
          </cell>
          <cell r="B56">
            <v>86600</v>
          </cell>
        </row>
        <row r="57">
          <cell r="A57" t="str">
            <v>Uzbekistan</v>
          </cell>
          <cell r="B57">
            <v>86496</v>
          </cell>
        </row>
        <row r="58">
          <cell r="A58" t="str">
            <v>Romania</v>
          </cell>
          <cell r="B58">
            <v>84185</v>
          </cell>
        </row>
        <row r="59">
          <cell r="A59" t="str">
            <v>Lithuania</v>
          </cell>
          <cell r="B59">
            <v>84166</v>
          </cell>
        </row>
        <row r="60">
          <cell r="A60" t="str">
            <v>Cote d'Ivoire</v>
          </cell>
          <cell r="B60">
            <v>81996</v>
          </cell>
        </row>
        <row r="61">
          <cell r="A61" t="str">
            <v>Paraguay</v>
          </cell>
          <cell r="B61">
            <v>78811</v>
          </cell>
        </row>
        <row r="62">
          <cell r="A62" t="str">
            <v>Chile</v>
          </cell>
          <cell r="B62">
            <v>77801</v>
          </cell>
        </row>
        <row r="63">
          <cell r="A63" t="str">
            <v>Uruguay</v>
          </cell>
          <cell r="B63">
            <v>77732</v>
          </cell>
        </row>
        <row r="64">
          <cell r="A64" t="str">
            <v>Cameroon</v>
          </cell>
          <cell r="B64">
            <v>77589</v>
          </cell>
        </row>
        <row r="65">
          <cell r="A65" t="str">
            <v>Denmark</v>
          </cell>
          <cell r="B65">
            <v>74558</v>
          </cell>
        </row>
        <row r="66">
          <cell r="A66" t="str">
            <v>Switzerland</v>
          </cell>
          <cell r="B66">
            <v>71557</v>
          </cell>
        </row>
        <row r="67">
          <cell r="A67" t="str">
            <v>Yemen</v>
          </cell>
          <cell r="B67">
            <v>71300</v>
          </cell>
        </row>
        <row r="68">
          <cell r="A68" t="str">
            <v>Latvia</v>
          </cell>
          <cell r="B68">
            <v>70244</v>
          </cell>
        </row>
        <row r="69">
          <cell r="A69" t="str">
            <v>Syria</v>
          </cell>
          <cell r="B69">
            <v>69873</v>
          </cell>
        </row>
        <row r="70">
          <cell r="A70" t="str">
            <v>Zambia</v>
          </cell>
          <cell r="B70">
            <v>67671</v>
          </cell>
        </row>
        <row r="71">
          <cell r="A71" t="str">
            <v>Ghana</v>
          </cell>
          <cell r="B71">
            <v>65725</v>
          </cell>
        </row>
        <row r="72">
          <cell r="A72" t="str">
            <v>Egypt</v>
          </cell>
          <cell r="B72">
            <v>65050</v>
          </cell>
        </row>
        <row r="73">
          <cell r="A73" t="str">
            <v>Oman</v>
          </cell>
          <cell r="B73">
            <v>60230</v>
          </cell>
        </row>
        <row r="74">
          <cell r="A74" t="str">
            <v>Cuba</v>
          </cell>
          <cell r="B74">
            <v>60000</v>
          </cell>
        </row>
        <row r="75">
          <cell r="A75" t="str">
            <v>Iraq</v>
          </cell>
          <cell r="B75">
            <v>59623</v>
          </cell>
        </row>
        <row r="76">
          <cell r="A76" t="str">
            <v>Turkmenistan</v>
          </cell>
          <cell r="B76">
            <v>58592</v>
          </cell>
        </row>
        <row r="77">
          <cell r="A77" t="str">
            <v>Estonia</v>
          </cell>
          <cell r="B77">
            <v>58412</v>
          </cell>
        </row>
        <row r="78">
          <cell r="A78" t="str">
            <v>Morocco</v>
          </cell>
          <cell r="B78">
            <v>57300</v>
          </cell>
        </row>
        <row r="79">
          <cell r="A79" t="str">
            <v>Slovakia</v>
          </cell>
          <cell r="B79">
            <v>56926</v>
          </cell>
        </row>
        <row r="80">
          <cell r="A80" t="str">
            <v>Czech Republic</v>
          </cell>
          <cell r="B80">
            <v>55744</v>
          </cell>
        </row>
        <row r="81">
          <cell r="A81" t="str">
            <v>Namibia</v>
          </cell>
          <cell r="B81">
            <v>48875</v>
          </cell>
        </row>
        <row r="82">
          <cell r="A82" t="str">
            <v>Cambodia</v>
          </cell>
          <cell r="B82">
            <v>47263</v>
          </cell>
        </row>
        <row r="83">
          <cell r="A83" t="str">
            <v>Guinea</v>
          </cell>
          <cell r="B83">
            <v>44301</v>
          </cell>
        </row>
        <row r="84">
          <cell r="A84" t="str">
            <v>Serbia</v>
          </cell>
          <cell r="B84">
            <v>44248</v>
          </cell>
        </row>
        <row r="85">
          <cell r="A85" t="str">
            <v>Ecuador</v>
          </cell>
          <cell r="B85">
            <v>43950</v>
          </cell>
        </row>
        <row r="86">
          <cell r="A86" t="str">
            <v>Taiwan</v>
          </cell>
          <cell r="B86">
            <v>43206</v>
          </cell>
        </row>
        <row r="87">
          <cell r="A87" t="str">
            <v>Chad</v>
          </cell>
          <cell r="B87">
            <v>40000</v>
          </cell>
        </row>
        <row r="88">
          <cell r="A88" t="str">
            <v>Laos</v>
          </cell>
          <cell r="B88">
            <v>39586</v>
          </cell>
        </row>
        <row r="89">
          <cell r="A89" t="str">
            <v>Slovenia</v>
          </cell>
          <cell r="B89">
            <v>38985</v>
          </cell>
        </row>
        <row r="90">
          <cell r="A90" t="str">
            <v>Libya</v>
          </cell>
          <cell r="B90">
            <v>37000</v>
          </cell>
        </row>
        <row r="91">
          <cell r="A91" t="str">
            <v>Afghanistan</v>
          </cell>
          <cell r="B91">
            <v>34903</v>
          </cell>
        </row>
        <row r="92">
          <cell r="A92" t="str">
            <v>Kyrgyzstan</v>
          </cell>
          <cell r="B92">
            <v>34000</v>
          </cell>
        </row>
        <row r="93">
          <cell r="A93" t="str">
            <v>Botswana</v>
          </cell>
          <cell r="B93">
            <v>31747</v>
          </cell>
        </row>
        <row r="94">
          <cell r="A94" t="str">
            <v>Madagascar</v>
          </cell>
          <cell r="B94">
            <v>31640</v>
          </cell>
        </row>
        <row r="95">
          <cell r="A95" t="str">
            <v>Mozambique</v>
          </cell>
          <cell r="B95">
            <v>31083</v>
          </cell>
        </row>
        <row r="96">
          <cell r="A96" t="str">
            <v>Sudan</v>
          </cell>
          <cell r="B96">
            <v>31000</v>
          </cell>
        </row>
        <row r="97">
          <cell r="A97" t="str">
            <v>Tajikistan</v>
          </cell>
          <cell r="B97">
            <v>30000</v>
          </cell>
        </row>
        <row r="98">
          <cell r="A98" t="str">
            <v>Nepal</v>
          </cell>
          <cell r="B98">
            <v>27990</v>
          </cell>
        </row>
        <row r="99">
          <cell r="A99" t="str">
            <v>Croatia</v>
          </cell>
          <cell r="B99">
            <v>26958</v>
          </cell>
        </row>
        <row r="100">
          <cell r="A100" t="str">
            <v>Puerto Rico</v>
          </cell>
          <cell r="B100">
            <v>26862</v>
          </cell>
        </row>
        <row r="101">
          <cell r="A101" t="str">
            <v>Angola</v>
          </cell>
          <cell r="B101">
            <v>26000</v>
          </cell>
        </row>
        <row r="102">
          <cell r="A102" t="str">
            <v>North Korea</v>
          </cell>
          <cell r="B102">
            <v>25554</v>
          </cell>
        </row>
        <row r="103">
          <cell r="A103" t="str">
            <v>Azerbaijan</v>
          </cell>
          <cell r="B103">
            <v>24981</v>
          </cell>
        </row>
        <row r="104">
          <cell r="A104" t="str">
            <v>Central African Republic</v>
          </cell>
          <cell r="B104">
            <v>24000</v>
          </cell>
        </row>
        <row r="105">
          <cell r="A105" t="str">
            <v>Nicaragua</v>
          </cell>
          <cell r="B105">
            <v>23897</v>
          </cell>
        </row>
        <row r="106">
          <cell r="A106" t="str">
            <v>Republic of the Congo</v>
          </cell>
          <cell r="B106">
            <v>23324</v>
          </cell>
        </row>
        <row r="107">
          <cell r="A107" t="str">
            <v>Bosnia and Herzegovina</v>
          </cell>
          <cell r="B107">
            <v>22926</v>
          </cell>
        </row>
        <row r="108">
          <cell r="A108" t="str">
            <v>Jamaica</v>
          </cell>
          <cell r="B108">
            <v>22121</v>
          </cell>
        </row>
        <row r="109">
          <cell r="A109" t="str">
            <v>Lebanon</v>
          </cell>
          <cell r="B109">
            <v>21705</v>
          </cell>
        </row>
        <row r="110">
          <cell r="A110" t="str">
            <v>Uganda</v>
          </cell>
          <cell r="B110">
            <v>20544</v>
          </cell>
        </row>
        <row r="111">
          <cell r="A111" t="str">
            <v>Israel</v>
          </cell>
          <cell r="B111">
            <v>20391</v>
          </cell>
        </row>
        <row r="112">
          <cell r="A112" t="str">
            <v>Georgia</v>
          </cell>
          <cell r="B112">
            <v>20295</v>
          </cell>
        </row>
        <row r="113">
          <cell r="A113" t="str">
            <v>Dominican Republic</v>
          </cell>
          <cell r="B113">
            <v>19705</v>
          </cell>
        </row>
        <row r="114">
          <cell r="A114" t="str">
            <v>Bulgaria</v>
          </cell>
          <cell r="B114">
            <v>19512</v>
          </cell>
        </row>
        <row r="115">
          <cell r="A115" t="str">
            <v>Niger</v>
          </cell>
          <cell r="B115">
            <v>18949</v>
          </cell>
        </row>
        <row r="116">
          <cell r="A116" t="str">
            <v>Peru</v>
          </cell>
          <cell r="B116">
            <v>18699</v>
          </cell>
        </row>
        <row r="117">
          <cell r="A117" t="str">
            <v>Guatemala</v>
          </cell>
          <cell r="B117">
            <v>17440</v>
          </cell>
        </row>
        <row r="118">
          <cell r="A118" t="str">
            <v>Senegal</v>
          </cell>
          <cell r="B118">
            <v>16665</v>
          </cell>
        </row>
        <row r="119">
          <cell r="A119" t="str">
            <v>Benin</v>
          </cell>
          <cell r="B119">
            <v>16000</v>
          </cell>
        </row>
        <row r="120">
          <cell r="A120" t="str">
            <v>Eritrea</v>
          </cell>
          <cell r="B120">
            <v>16000</v>
          </cell>
        </row>
        <row r="121">
          <cell r="A121" t="str">
            <v>Malawi</v>
          </cell>
          <cell r="B121">
            <v>15452</v>
          </cell>
        </row>
        <row r="122">
          <cell r="A122" t="str">
            <v>Burkina Faso</v>
          </cell>
          <cell r="B122">
            <v>15304</v>
          </cell>
        </row>
        <row r="123">
          <cell r="A123" t="str">
            <v>Somalia</v>
          </cell>
          <cell r="B123">
            <v>15000</v>
          </cell>
        </row>
        <row r="124">
          <cell r="A124" t="str">
            <v>Honduras</v>
          </cell>
          <cell r="B124">
            <v>14742</v>
          </cell>
        </row>
        <row r="125">
          <cell r="A125" t="str">
            <v>Gabon</v>
          </cell>
          <cell r="B125">
            <v>14300</v>
          </cell>
        </row>
        <row r="126">
          <cell r="A126" t="str">
            <v>North Macedonia</v>
          </cell>
          <cell r="B126">
            <v>14182</v>
          </cell>
        </row>
        <row r="127">
          <cell r="A127" t="str">
            <v>Iceland</v>
          </cell>
          <cell r="B127">
            <v>12898</v>
          </cell>
        </row>
        <row r="128">
          <cell r="A128" t="str">
            <v>Cyprus</v>
          </cell>
          <cell r="B128">
            <v>12901</v>
          </cell>
        </row>
        <row r="129">
          <cell r="A129" t="str">
            <v>Mauritania</v>
          </cell>
          <cell r="B129">
            <v>12253</v>
          </cell>
        </row>
        <row r="130">
          <cell r="A130" t="str">
            <v>Bhutan</v>
          </cell>
          <cell r="B130">
            <v>12205</v>
          </cell>
        </row>
        <row r="131">
          <cell r="A131" t="str">
            <v>Burundi</v>
          </cell>
          <cell r="B131">
            <v>12322</v>
          </cell>
        </row>
        <row r="132">
          <cell r="A132" t="str">
            <v>Sierra Leone</v>
          </cell>
          <cell r="B132">
            <v>11701</v>
          </cell>
        </row>
        <row r="133">
          <cell r="A133" t="str">
            <v>Liberia</v>
          </cell>
          <cell r="B133">
            <v>10600</v>
          </cell>
        </row>
        <row r="134">
          <cell r="A134" t="str">
            <v>Moldova</v>
          </cell>
          <cell r="B134">
            <v>9352</v>
          </cell>
        </row>
        <row r="135">
          <cell r="A135" t="str">
            <v>El Salvador</v>
          </cell>
          <cell r="B135">
            <v>9012</v>
          </cell>
        </row>
        <row r="136">
          <cell r="A136" t="str">
            <v>Togo</v>
          </cell>
          <cell r="B136">
            <v>9951</v>
          </cell>
        </row>
        <row r="137">
          <cell r="A137" t="str">
            <v>Montenegro</v>
          </cell>
          <cell r="B137">
            <v>7762</v>
          </cell>
        </row>
        <row r="138">
          <cell r="A138" t="str">
            <v>Armenia</v>
          </cell>
          <cell r="B138">
            <v>7700</v>
          </cell>
        </row>
        <row r="139">
          <cell r="A139" t="str">
            <v>Papua New Guinea</v>
          </cell>
          <cell r="B139">
            <v>9349</v>
          </cell>
        </row>
        <row r="140">
          <cell r="A140" t="str">
            <v>Jordan</v>
          </cell>
          <cell r="B140">
            <v>7203</v>
          </cell>
        </row>
        <row r="141">
          <cell r="A141" t="str">
            <v>Qatar</v>
          </cell>
          <cell r="B141">
            <v>7039</v>
          </cell>
        </row>
        <row r="142">
          <cell r="A142" t="str">
            <v>Kuwait</v>
          </cell>
          <cell r="B142">
            <v>5749</v>
          </cell>
        </row>
        <row r="143">
          <cell r="A143" t="str">
            <v>Suriname</v>
          </cell>
          <cell r="B143">
            <v>4304</v>
          </cell>
        </row>
        <row r="144">
          <cell r="A144" t="str">
            <v>Lesotho</v>
          </cell>
          <cell r="B144">
            <v>5940</v>
          </cell>
        </row>
        <row r="145">
          <cell r="A145" t="str">
            <v>New Caledonia</v>
          </cell>
          <cell r="B145">
            <v>5622</v>
          </cell>
        </row>
        <row r="146">
          <cell r="A146" t="str">
            <v>Costa Rica</v>
          </cell>
          <cell r="B146">
            <v>5035</v>
          </cell>
        </row>
        <row r="147">
          <cell r="A147" t="str">
            <v>Rwanda</v>
          </cell>
          <cell r="B147">
            <v>4700</v>
          </cell>
        </row>
        <row r="148">
          <cell r="A148" t="str">
            <v>Bahrain</v>
          </cell>
          <cell r="B148">
            <v>4122</v>
          </cell>
        </row>
        <row r="149">
          <cell r="A149" t="str">
            <v>Haiti</v>
          </cell>
          <cell r="B149">
            <v>4102</v>
          </cell>
        </row>
        <row r="150">
          <cell r="A150" t="str">
            <v>United Arab Emirates</v>
          </cell>
          <cell r="B150">
            <v>4080</v>
          </cell>
        </row>
        <row r="151">
          <cell r="A151" t="str">
            <v>Guyana</v>
          </cell>
          <cell r="B151">
            <v>3995</v>
          </cell>
        </row>
        <row r="152">
          <cell r="A152" t="str">
            <v>Albania</v>
          </cell>
          <cell r="B152">
            <v>3945</v>
          </cell>
        </row>
        <row r="153">
          <cell r="A153" t="str">
            <v>Eswatini</v>
          </cell>
          <cell r="B153">
            <v>3769</v>
          </cell>
        </row>
        <row r="154">
          <cell r="A154" t="str">
            <v>Singapore</v>
          </cell>
          <cell r="B154">
            <v>3500</v>
          </cell>
        </row>
        <row r="155">
          <cell r="A155" t="str">
            <v>Fiji</v>
          </cell>
          <cell r="B155">
            <v>3440</v>
          </cell>
        </row>
        <row r="156">
          <cell r="A156" t="str">
            <v>Belize</v>
          </cell>
          <cell r="B156">
            <v>3281</v>
          </cell>
        </row>
        <row r="157">
          <cell r="A157" t="str">
            <v>Malta</v>
          </cell>
          <cell r="B157">
            <v>3096</v>
          </cell>
        </row>
        <row r="158">
          <cell r="A158" t="str">
            <v>Gambia</v>
          </cell>
          <cell r="B158">
            <v>2977</v>
          </cell>
        </row>
        <row r="159">
          <cell r="A159" t="str">
            <v>Brunei</v>
          </cell>
          <cell r="B159">
            <v>2976</v>
          </cell>
        </row>
        <row r="160">
          <cell r="A160" t="str">
            <v>Djibouti</v>
          </cell>
          <cell r="B160">
            <v>2893</v>
          </cell>
        </row>
        <row r="161">
          <cell r="A161" t="str">
            <v>Equatorial Guinea</v>
          </cell>
          <cell r="B161">
            <v>2880</v>
          </cell>
        </row>
        <row r="162">
          <cell r="A162" t="str">
            <v>Luxembourg</v>
          </cell>
          <cell r="B162">
            <v>2875</v>
          </cell>
        </row>
        <row r="163">
          <cell r="A163" t="str">
            <v>Bahamas</v>
          </cell>
          <cell r="B163">
            <v>2700</v>
          </cell>
        </row>
        <row r="164">
          <cell r="A164" t="str">
            <v>French Polynesia</v>
          </cell>
          <cell r="B164">
            <v>2590</v>
          </cell>
        </row>
        <row r="165">
          <cell r="A165" t="str">
            <v>Mauritius</v>
          </cell>
          <cell r="B165">
            <v>2428</v>
          </cell>
        </row>
        <row r="166">
          <cell r="A166" t="str">
            <v>Hong Kong</v>
          </cell>
          <cell r="B166">
            <v>2193</v>
          </cell>
        </row>
        <row r="167">
          <cell r="A167" t="str">
            <v>Marshall Islands</v>
          </cell>
          <cell r="B167">
            <v>2028</v>
          </cell>
        </row>
        <row r="168">
          <cell r="A168" t="str">
            <v>Barbados</v>
          </cell>
          <cell r="B168">
            <v>1700</v>
          </cell>
        </row>
        <row r="169">
          <cell r="A169" t="str">
            <v>Dominica</v>
          </cell>
          <cell r="B169">
            <v>1512</v>
          </cell>
        </row>
        <row r="170">
          <cell r="A170" t="str">
            <v>Solomon Islands</v>
          </cell>
          <cell r="B170">
            <v>1390</v>
          </cell>
        </row>
        <row r="171">
          <cell r="A171" t="str">
            <v>Sao Tome and Principe</v>
          </cell>
          <cell r="B171">
            <v>1300</v>
          </cell>
        </row>
        <row r="172">
          <cell r="A172" t="str">
            <v>Saint Lucia</v>
          </cell>
          <cell r="B172">
            <v>1210</v>
          </cell>
        </row>
        <row r="173">
          <cell r="A173" t="str">
            <v>Antigua and Barbuda</v>
          </cell>
          <cell r="B173">
            <v>1170</v>
          </cell>
        </row>
        <row r="174">
          <cell r="A174" t="str">
            <v>Samoa</v>
          </cell>
          <cell r="B174">
            <v>1150</v>
          </cell>
        </row>
        <row r="175">
          <cell r="A175" t="str">
            <v>Grenada</v>
          </cell>
          <cell r="B175">
            <v>1127</v>
          </cell>
        </row>
        <row r="176">
          <cell r="A176" t="str">
            <v>Isle of Man</v>
          </cell>
          <cell r="B176">
            <v>1107</v>
          </cell>
        </row>
        <row r="177">
          <cell r="A177" t="str">
            <v>Vanuatu</v>
          </cell>
          <cell r="B177">
            <v>1070</v>
          </cell>
        </row>
        <row r="178">
          <cell r="A178" t="str">
            <v>Guam</v>
          </cell>
          <cell r="B178">
            <v>1045</v>
          </cell>
        </row>
        <row r="179">
          <cell r="A179" t="str">
            <v>Aruba</v>
          </cell>
          <cell r="B179">
            <v>1000</v>
          </cell>
        </row>
        <row r="180">
          <cell r="A180" t="str">
            <v>Faroe Islands</v>
          </cell>
          <cell r="B180">
            <v>960</v>
          </cell>
        </row>
        <row r="181">
          <cell r="A181" t="str">
            <v>Comoros</v>
          </cell>
          <cell r="B181">
            <v>880</v>
          </cell>
        </row>
        <row r="182">
          <cell r="A182" t="str">
            <v>Cayman Islands</v>
          </cell>
          <cell r="B182">
            <v>785</v>
          </cell>
        </row>
        <row r="183">
          <cell r="A183" t="str">
            <v>Tonga</v>
          </cell>
          <cell r="B183">
            <v>680</v>
          </cell>
        </row>
        <row r="184">
          <cell r="A184" t="str">
            <v>Kiribati</v>
          </cell>
          <cell r="B184">
            <v>670</v>
          </cell>
        </row>
        <row r="185">
          <cell r="A185" t="str">
            <v>Liechtenstein</v>
          </cell>
          <cell r="B185">
            <v>630</v>
          </cell>
        </row>
        <row r="186">
          <cell r="A186" t="str">
            <v>Jersey</v>
          </cell>
          <cell r="B186">
            <v>576</v>
          </cell>
        </row>
        <row r="187">
          <cell r="A187" t="str">
            <v>Curacao</v>
          </cell>
          <cell r="B187">
            <v>550</v>
          </cell>
        </row>
        <row r="188">
          <cell r="A188" t="str">
            <v>Northern Mariana Islands</v>
          </cell>
          <cell r="B188">
            <v>536</v>
          </cell>
        </row>
        <row r="189">
          <cell r="A189" t="str">
            <v>Seychelles</v>
          </cell>
          <cell r="B189">
            <v>526</v>
          </cell>
        </row>
        <row r="190">
          <cell r="A190" t="str">
            <v>Bermuda</v>
          </cell>
          <cell r="B190">
            <v>447</v>
          </cell>
        </row>
        <row r="191">
          <cell r="A191" t="str">
            <v>Falkland Islands</v>
          </cell>
          <cell r="B191">
            <v>440</v>
          </cell>
        </row>
        <row r="192">
          <cell r="A192" t="str">
            <v>Macau</v>
          </cell>
          <cell r="B192">
            <v>428</v>
          </cell>
        </row>
        <row r="193">
          <cell r="A193" t="str">
            <v>Saint Kitts and Nevis</v>
          </cell>
          <cell r="B193">
            <v>383</v>
          </cell>
        </row>
        <row r="194">
          <cell r="A194" t="str">
            <v>Andorra</v>
          </cell>
          <cell r="B194">
            <v>320</v>
          </cell>
        </row>
        <row r="195">
          <cell r="A195" t="str">
            <v>Cook Islands</v>
          </cell>
          <cell r="B195">
            <v>295</v>
          </cell>
        </row>
        <row r="196">
          <cell r="A196" t="str">
            <v>San Marino</v>
          </cell>
          <cell r="B196">
            <v>292</v>
          </cell>
        </row>
        <row r="197">
          <cell r="A197" t="str">
            <v>Guernsey</v>
          </cell>
          <cell r="B197">
            <v>260</v>
          </cell>
        </row>
        <row r="198">
          <cell r="A198" t="str">
            <v>American Samoa</v>
          </cell>
          <cell r="B198">
            <v>241</v>
          </cell>
        </row>
        <row r="199">
          <cell r="A199" t="str">
            <v>Niue</v>
          </cell>
          <cell r="B199">
            <v>234</v>
          </cell>
        </row>
        <row r="200">
          <cell r="A200" t="str">
            <v>British Virgin Islands</v>
          </cell>
          <cell r="B200">
            <v>200</v>
          </cell>
        </row>
        <row r="201">
          <cell r="A201" t="str">
            <v>Anguilla</v>
          </cell>
          <cell r="B201">
            <v>175</v>
          </cell>
        </row>
        <row r="202">
          <cell r="A202" t="str">
            <v>Palau</v>
          </cell>
          <cell r="B202">
            <v>125</v>
          </cell>
        </row>
        <row r="203">
          <cell r="A203" t="str">
            <v>Turks and Caicos Islands</v>
          </cell>
          <cell r="B203">
            <v>121</v>
          </cell>
        </row>
        <row r="204">
          <cell r="A204" t="str">
            <v>Saint Pierre and Miquelon</v>
          </cell>
          <cell r="B204">
            <v>117</v>
          </cell>
        </row>
        <row r="205">
          <cell r="A205" t="str">
            <v>Maldives</v>
          </cell>
          <cell r="B205">
            <v>93</v>
          </cell>
        </row>
        <row r="206">
          <cell r="A206" t="str">
            <v>Sint Maarten</v>
          </cell>
          <cell r="B206">
            <v>53</v>
          </cell>
        </row>
        <row r="207">
          <cell r="A207" t="str">
            <v>Saint Barthelemy</v>
          </cell>
          <cell r="B207">
            <v>40</v>
          </cell>
        </row>
        <row r="208">
          <cell r="A208" t="str">
            <v>Nauru</v>
          </cell>
          <cell r="B208">
            <v>30</v>
          </cell>
        </row>
        <row r="209">
          <cell r="A209" t="str">
            <v>Gibraltar</v>
          </cell>
          <cell r="B209">
            <v>29</v>
          </cell>
        </row>
        <row r="210">
          <cell r="A210" t="str">
            <v>Tokelau</v>
          </cell>
          <cell r="B210">
            <v>10</v>
          </cell>
        </row>
        <row r="211">
          <cell r="A211" t="str">
            <v>Tuvalu</v>
          </cell>
          <cell r="B211">
            <v>8</v>
          </cell>
        </row>
        <row r="212">
          <cell r="B212">
            <v>157000</v>
          </cell>
        </row>
        <row r="213">
          <cell r="B213">
            <v>152373</v>
          </cell>
        </row>
        <row r="214">
          <cell r="B214">
            <v>67333</v>
          </cell>
        </row>
        <row r="215">
          <cell r="B215">
            <v>20000</v>
          </cell>
        </row>
        <row r="216">
          <cell r="B216">
            <v>11978</v>
          </cell>
        </row>
        <row r="217">
          <cell r="B217">
            <v>3281</v>
          </cell>
        </row>
        <row r="218">
          <cell r="B218">
            <v>2012</v>
          </cell>
        </row>
        <row r="219">
          <cell r="A219" t="str">
            <v>Monaco</v>
          </cell>
          <cell r="B219">
            <v>77</v>
          </cell>
        </row>
      </sheetData>
      <sheetData sheetId="21">
        <row r="1">
          <cell r="A1" t="str">
            <v>Country</v>
          </cell>
          <cell r="B1" t="str">
            <v>Max Length (km) Total</v>
          </cell>
        </row>
        <row r="2">
          <cell r="A2" t="str">
            <v>United States</v>
          </cell>
          <cell r="B2">
            <v>293564.2</v>
          </cell>
        </row>
        <row r="3">
          <cell r="A3" t="str">
            <v>China</v>
          </cell>
          <cell r="B3">
            <v>150000</v>
          </cell>
        </row>
        <row r="4">
          <cell r="A4" t="str">
            <v>Russia</v>
          </cell>
          <cell r="B4">
            <v>105000</v>
          </cell>
        </row>
        <row r="5">
          <cell r="A5" t="str">
            <v>India</v>
          </cell>
          <cell r="B5">
            <v>68043</v>
          </cell>
        </row>
        <row r="6">
          <cell r="A6" t="str">
            <v>Canada</v>
          </cell>
          <cell r="B6">
            <v>49422</v>
          </cell>
        </row>
        <row r="7">
          <cell r="A7" t="str">
            <v>Germany</v>
          </cell>
          <cell r="B7">
            <v>40625</v>
          </cell>
        </row>
        <row r="8">
          <cell r="A8" t="str">
            <v>Australia</v>
          </cell>
          <cell r="B8">
            <v>36064</v>
          </cell>
        </row>
        <row r="9">
          <cell r="A9" t="str">
            <v>Argentina</v>
          </cell>
          <cell r="B9">
            <v>36966</v>
          </cell>
        </row>
        <row r="10">
          <cell r="A10" t="str">
            <v>Brazil</v>
          </cell>
          <cell r="B10">
            <v>29850</v>
          </cell>
        </row>
        <row r="11">
          <cell r="A11" t="str">
            <v>France</v>
          </cell>
          <cell r="B11">
            <v>29273</v>
          </cell>
        </row>
        <row r="12">
          <cell r="A12" t="str">
            <v>South Africa</v>
          </cell>
          <cell r="B12">
            <v>30400</v>
          </cell>
        </row>
        <row r="13">
          <cell r="A13" t="str">
            <v>Japan</v>
          </cell>
          <cell r="B13">
            <v>27311</v>
          </cell>
        </row>
        <row r="14">
          <cell r="A14" t="str">
            <v>Mexico</v>
          </cell>
          <cell r="B14">
            <v>23389</v>
          </cell>
        </row>
        <row r="15">
          <cell r="A15" t="str">
            <v>Ukraine</v>
          </cell>
          <cell r="B15">
            <v>21733</v>
          </cell>
        </row>
        <row r="16">
          <cell r="A16" t="str">
            <v>Poland</v>
          </cell>
          <cell r="B16">
            <v>19886</v>
          </cell>
        </row>
        <row r="17">
          <cell r="A17" t="str">
            <v>Italy</v>
          </cell>
          <cell r="B17">
            <v>20048</v>
          </cell>
        </row>
        <row r="18">
          <cell r="A18" t="str">
            <v>Romania</v>
          </cell>
          <cell r="B18">
            <v>20077</v>
          </cell>
        </row>
        <row r="19">
          <cell r="A19" t="str">
            <v>Kazakhstan</v>
          </cell>
          <cell r="B19">
            <v>16636</v>
          </cell>
        </row>
        <row r="20">
          <cell r="A20" t="str">
            <v>United Kingdom</v>
          </cell>
          <cell r="B20">
            <v>16390</v>
          </cell>
        </row>
        <row r="21">
          <cell r="A21" t="str">
            <v>Spain</v>
          </cell>
          <cell r="B21">
            <v>15489</v>
          </cell>
        </row>
        <row r="22">
          <cell r="A22" t="str">
            <v>Iran</v>
          </cell>
          <cell r="B22">
            <v>16998</v>
          </cell>
        </row>
        <row r="23">
          <cell r="A23" t="str">
            <v>Pakistan</v>
          </cell>
          <cell r="B23">
            <v>11881</v>
          </cell>
        </row>
        <row r="24">
          <cell r="A24" t="str">
            <v>Turkey</v>
          </cell>
          <cell r="B24">
            <v>12740</v>
          </cell>
        </row>
        <row r="25">
          <cell r="A25" t="str">
            <v>Sweden</v>
          </cell>
          <cell r="B25">
            <v>10912</v>
          </cell>
        </row>
        <row r="26">
          <cell r="A26" t="str">
            <v>Czech Republic</v>
          </cell>
          <cell r="B26">
            <v>9567</v>
          </cell>
        </row>
        <row r="27">
          <cell r="A27" t="str">
            <v>Myanmar</v>
          </cell>
          <cell r="B27">
            <v>11025</v>
          </cell>
        </row>
        <row r="28">
          <cell r="A28" t="str">
            <v>Cuba</v>
          </cell>
          <cell r="B28">
            <v>8367</v>
          </cell>
        </row>
        <row r="29">
          <cell r="A29" t="str">
            <v>Indonesia</v>
          </cell>
          <cell r="B29">
            <v>8159</v>
          </cell>
        </row>
        <row r="30">
          <cell r="A30" t="str">
            <v>Hungary</v>
          </cell>
          <cell r="B30">
            <v>7945</v>
          </cell>
        </row>
        <row r="31">
          <cell r="A31" t="str">
            <v>North Korea</v>
          </cell>
          <cell r="B31">
            <v>7435</v>
          </cell>
        </row>
        <row r="32">
          <cell r="A32" t="str">
            <v>Chile</v>
          </cell>
          <cell r="B32">
            <v>7282</v>
          </cell>
        </row>
        <row r="33">
          <cell r="A33" t="str">
            <v>Egypt</v>
          </cell>
          <cell r="B33">
            <v>7024</v>
          </cell>
        </row>
        <row r="34">
          <cell r="A34" t="str">
            <v>Sudan</v>
          </cell>
          <cell r="B34">
            <v>7251</v>
          </cell>
        </row>
        <row r="35">
          <cell r="A35" t="str">
            <v>Austria</v>
          </cell>
          <cell r="B35">
            <v>6123</v>
          </cell>
        </row>
        <row r="36">
          <cell r="A36" t="str">
            <v>Finland</v>
          </cell>
          <cell r="B36">
            <v>5926</v>
          </cell>
        </row>
        <row r="37">
          <cell r="A37" t="str">
            <v>Belarus</v>
          </cell>
          <cell r="B37">
            <v>5528</v>
          </cell>
        </row>
        <row r="38">
          <cell r="A38" t="str">
            <v>Saudi Arabia</v>
          </cell>
          <cell r="B38">
            <v>5590</v>
          </cell>
        </row>
        <row r="39">
          <cell r="A39" t="str">
            <v>Switzerland</v>
          </cell>
          <cell r="B39">
            <v>5317</v>
          </cell>
        </row>
        <row r="40">
          <cell r="A40" t="str">
            <v>Turkmenistan</v>
          </cell>
          <cell r="B40">
            <v>5113</v>
          </cell>
        </row>
        <row r="41">
          <cell r="A41" t="str">
            <v>South Korea</v>
          </cell>
          <cell r="B41">
            <v>4837</v>
          </cell>
        </row>
        <row r="42">
          <cell r="A42" t="str">
            <v>Mozambique</v>
          </cell>
          <cell r="B42">
            <v>4787</v>
          </cell>
        </row>
        <row r="43">
          <cell r="A43" t="str">
            <v>Uzbekistan</v>
          </cell>
          <cell r="B43">
            <v>4669</v>
          </cell>
        </row>
        <row r="44">
          <cell r="A44" t="str">
            <v>New Zealand</v>
          </cell>
          <cell r="B44">
            <v>4128</v>
          </cell>
        </row>
        <row r="45">
          <cell r="A45" t="str">
            <v>Algeria</v>
          </cell>
          <cell r="B45">
            <v>4560</v>
          </cell>
        </row>
        <row r="46">
          <cell r="A46" t="str">
            <v>Thailand</v>
          </cell>
          <cell r="B46">
            <v>4127</v>
          </cell>
        </row>
        <row r="47">
          <cell r="A47" t="str">
            <v>Tanzania</v>
          </cell>
          <cell r="B47">
            <v>4097</v>
          </cell>
        </row>
        <row r="48">
          <cell r="A48" t="str">
            <v>Norway</v>
          </cell>
          <cell r="B48">
            <v>4240</v>
          </cell>
        </row>
        <row r="49">
          <cell r="A49" t="str">
            <v>Bulgaria</v>
          </cell>
          <cell r="B49">
            <v>4030</v>
          </cell>
        </row>
        <row r="50">
          <cell r="A50" t="str">
            <v>DR Congo</v>
          </cell>
          <cell r="B50">
            <v>4096</v>
          </cell>
        </row>
        <row r="51">
          <cell r="A51" t="str">
            <v>Serbia</v>
          </cell>
          <cell r="B51">
            <v>3764</v>
          </cell>
        </row>
        <row r="52">
          <cell r="A52" t="str">
            <v>Kenya</v>
          </cell>
          <cell r="B52">
            <v>3819</v>
          </cell>
        </row>
        <row r="53">
          <cell r="A53" t="str">
            <v>Slovakia</v>
          </cell>
          <cell r="B53">
            <v>3627</v>
          </cell>
        </row>
        <row r="54">
          <cell r="A54" t="str">
            <v>Nigeria</v>
          </cell>
          <cell r="B54">
            <v>3798</v>
          </cell>
        </row>
        <row r="55">
          <cell r="A55" t="str">
            <v>Bolivia</v>
          </cell>
          <cell r="B55">
            <v>3960</v>
          </cell>
        </row>
        <row r="56">
          <cell r="A56" t="str">
            <v>Portugal</v>
          </cell>
          <cell r="B56">
            <v>3622</v>
          </cell>
        </row>
        <row r="57">
          <cell r="A57" t="str">
            <v>Belgium</v>
          </cell>
          <cell r="B57">
            <v>3607</v>
          </cell>
        </row>
        <row r="58">
          <cell r="A58" t="str">
            <v>Zimbabwe</v>
          </cell>
          <cell r="B58">
            <v>3427</v>
          </cell>
        </row>
        <row r="59">
          <cell r="A59" t="str">
            <v>Vietnam</v>
          </cell>
          <cell r="B59">
            <v>3364</v>
          </cell>
        </row>
        <row r="60">
          <cell r="A60" t="str">
            <v>Zambia</v>
          </cell>
          <cell r="B60">
            <v>3126</v>
          </cell>
        </row>
        <row r="61">
          <cell r="A61" t="str">
            <v>Netherlands</v>
          </cell>
          <cell r="B61">
            <v>3055</v>
          </cell>
        </row>
        <row r="62">
          <cell r="A62" t="str">
            <v>Uruguay</v>
          </cell>
          <cell r="B62">
            <v>2993</v>
          </cell>
        </row>
        <row r="63">
          <cell r="A63" t="str">
            <v>Azerbaijan</v>
          </cell>
          <cell r="B63">
            <v>2944.3</v>
          </cell>
        </row>
        <row r="64">
          <cell r="A64" t="str">
            <v>Angola</v>
          </cell>
          <cell r="B64">
            <v>2761</v>
          </cell>
        </row>
        <row r="65">
          <cell r="A65" t="str">
            <v>Bangladesh</v>
          </cell>
          <cell r="B65">
            <v>3600</v>
          </cell>
        </row>
        <row r="66">
          <cell r="A66" t="str">
            <v>Denmark</v>
          </cell>
          <cell r="B66">
            <v>2682</v>
          </cell>
        </row>
        <row r="67">
          <cell r="A67" t="str">
            <v>Namibia</v>
          </cell>
          <cell r="B67">
            <v>2628</v>
          </cell>
        </row>
        <row r="68">
          <cell r="A68" t="str">
            <v>Malaysia</v>
          </cell>
          <cell r="B68">
            <v>2783</v>
          </cell>
        </row>
        <row r="69">
          <cell r="A69" t="str">
            <v>Croatia</v>
          </cell>
          <cell r="B69">
            <v>2617</v>
          </cell>
        </row>
        <row r="70">
          <cell r="A70" t="str">
            <v>Syria</v>
          </cell>
          <cell r="B70">
            <v>2750</v>
          </cell>
        </row>
        <row r="71">
          <cell r="A71" t="str">
            <v>Greece</v>
          </cell>
          <cell r="B71">
            <v>2345</v>
          </cell>
        </row>
        <row r="72">
          <cell r="A72" t="str">
            <v>Iraq</v>
          </cell>
          <cell r="B72">
            <v>2272</v>
          </cell>
        </row>
        <row r="73">
          <cell r="A73" t="str">
            <v>Latvia</v>
          </cell>
          <cell r="B73">
            <v>2216</v>
          </cell>
        </row>
        <row r="74">
          <cell r="A74" t="str">
            <v>Tunisia</v>
          </cell>
          <cell r="B74">
            <v>2173</v>
          </cell>
        </row>
        <row r="75">
          <cell r="A75" t="str">
            <v>Ethiopia</v>
          </cell>
          <cell r="B75">
            <v>2185</v>
          </cell>
        </row>
        <row r="76">
          <cell r="A76" t="str">
            <v>Colombia</v>
          </cell>
          <cell r="B76">
            <v>2141</v>
          </cell>
        </row>
        <row r="77">
          <cell r="A77" t="str">
            <v>Morocco</v>
          </cell>
          <cell r="B77">
            <v>2109</v>
          </cell>
        </row>
        <row r="78">
          <cell r="A78" t="str">
            <v>Lithuania</v>
          </cell>
          <cell r="B78">
            <v>1911</v>
          </cell>
        </row>
        <row r="79">
          <cell r="A79" t="str">
            <v>Peru</v>
          </cell>
          <cell r="B79">
            <v>2020</v>
          </cell>
        </row>
        <row r="80">
          <cell r="A80" t="str">
            <v>Mongolia</v>
          </cell>
          <cell r="B80">
            <v>1815</v>
          </cell>
        </row>
        <row r="81">
          <cell r="A81" t="str">
            <v>Ireland</v>
          </cell>
          <cell r="B81">
            <v>1688</v>
          </cell>
        </row>
        <row r="82">
          <cell r="A82" t="str">
            <v>Taiwan</v>
          </cell>
          <cell r="B82">
            <v>1782</v>
          </cell>
        </row>
        <row r="83">
          <cell r="A83" t="str">
            <v>Georgia</v>
          </cell>
          <cell r="B83">
            <v>1576</v>
          </cell>
        </row>
        <row r="84">
          <cell r="A84" t="str">
            <v>Sri Lanka</v>
          </cell>
          <cell r="B84">
            <v>1562</v>
          </cell>
        </row>
        <row r="85">
          <cell r="A85" t="str">
            <v>Israel</v>
          </cell>
          <cell r="B85">
            <v>1511</v>
          </cell>
        </row>
        <row r="86">
          <cell r="A86" t="str">
            <v>Estonia</v>
          </cell>
          <cell r="B86">
            <v>1441</v>
          </cell>
        </row>
        <row r="87">
          <cell r="A87" t="str">
            <v>Uganda</v>
          </cell>
          <cell r="B87">
            <v>1244</v>
          </cell>
        </row>
        <row r="88">
          <cell r="A88" t="str">
            <v>Slovenia</v>
          </cell>
          <cell r="B88">
            <v>1209</v>
          </cell>
        </row>
        <row r="89">
          <cell r="A89" t="str">
            <v>Moldova</v>
          </cell>
          <cell r="B89">
            <v>1171</v>
          </cell>
        </row>
        <row r="90">
          <cell r="A90" t="str">
            <v>Guinea</v>
          </cell>
          <cell r="B90">
            <v>1086</v>
          </cell>
        </row>
        <row r="91">
          <cell r="A91" t="str">
            <v>Cameroon</v>
          </cell>
          <cell r="B91">
            <v>987</v>
          </cell>
        </row>
        <row r="92">
          <cell r="A92" t="str">
            <v>Bosnia and Herzegovina</v>
          </cell>
          <cell r="B92">
            <v>1018</v>
          </cell>
        </row>
        <row r="93">
          <cell r="A93" t="str">
            <v>Ecuador</v>
          </cell>
          <cell r="B93">
            <v>966</v>
          </cell>
        </row>
        <row r="94">
          <cell r="A94" t="str">
            <v>Ghana</v>
          </cell>
          <cell r="B94">
            <v>953</v>
          </cell>
        </row>
        <row r="95">
          <cell r="A95" t="str">
            <v>Senegal</v>
          </cell>
          <cell r="B95">
            <v>906</v>
          </cell>
        </row>
        <row r="96">
          <cell r="A96" t="str">
            <v>Botswana</v>
          </cell>
          <cell r="B96">
            <v>888</v>
          </cell>
        </row>
        <row r="97">
          <cell r="A97" t="str">
            <v>Madagascar</v>
          </cell>
          <cell r="B97">
            <v>848</v>
          </cell>
        </row>
        <row r="98">
          <cell r="A98" t="str">
            <v>Guatemala</v>
          </cell>
          <cell r="B98">
            <v>885</v>
          </cell>
        </row>
        <row r="99">
          <cell r="A99" t="str">
            <v>Mauritania</v>
          </cell>
          <cell r="B99">
            <v>728</v>
          </cell>
        </row>
        <row r="100">
          <cell r="A100" t="str">
            <v>United Arab Emirates</v>
          </cell>
          <cell r="B100">
            <v>869</v>
          </cell>
        </row>
        <row r="101">
          <cell r="A101" t="str">
            <v>Honduras</v>
          </cell>
          <cell r="B101">
            <v>699</v>
          </cell>
        </row>
        <row r="102">
          <cell r="A102" t="str">
            <v>Malawi</v>
          </cell>
          <cell r="B102">
            <v>797</v>
          </cell>
        </row>
        <row r="103">
          <cell r="A103" t="str">
            <v>North Macedonia</v>
          </cell>
          <cell r="B103">
            <v>699</v>
          </cell>
        </row>
        <row r="104">
          <cell r="A104" t="str">
            <v>Armenia</v>
          </cell>
          <cell r="B104">
            <v>703</v>
          </cell>
        </row>
        <row r="105">
          <cell r="A105" t="str">
            <v>Gabon</v>
          </cell>
          <cell r="B105">
            <v>810</v>
          </cell>
        </row>
        <row r="106">
          <cell r="A106" t="str">
            <v>Tajikistan</v>
          </cell>
          <cell r="B106">
            <v>680</v>
          </cell>
        </row>
        <row r="107">
          <cell r="A107" t="str">
            <v>Cote d'Ivoire</v>
          </cell>
          <cell r="B107">
            <v>660</v>
          </cell>
        </row>
        <row r="108">
          <cell r="A108" t="str">
            <v>Congo</v>
          </cell>
          <cell r="B108">
            <v>795</v>
          </cell>
        </row>
        <row r="109">
          <cell r="A109" t="str">
            <v>Cambodia</v>
          </cell>
          <cell r="B109">
            <v>650</v>
          </cell>
        </row>
        <row r="110">
          <cell r="A110" t="str">
            <v>Benin</v>
          </cell>
          <cell r="B110">
            <v>758</v>
          </cell>
        </row>
        <row r="111">
          <cell r="A111" t="str">
            <v>Burkina Faso</v>
          </cell>
          <cell r="B111">
            <v>622</v>
          </cell>
        </row>
        <row r="112">
          <cell r="A112" t="str">
            <v>Mali</v>
          </cell>
          <cell r="B112">
            <v>729</v>
          </cell>
        </row>
        <row r="113">
          <cell r="A113" t="str">
            <v>Jordan</v>
          </cell>
          <cell r="B113">
            <v>622</v>
          </cell>
        </row>
        <row r="114">
          <cell r="A114" t="str">
            <v>Dominican Republic</v>
          </cell>
          <cell r="B114">
            <v>517</v>
          </cell>
        </row>
        <row r="115">
          <cell r="A115" t="str">
            <v>Fiji</v>
          </cell>
          <cell r="B115">
            <v>597</v>
          </cell>
        </row>
        <row r="116">
          <cell r="A116" t="str">
            <v>Venezuela</v>
          </cell>
          <cell r="B116">
            <v>447</v>
          </cell>
        </row>
        <row r="117">
          <cell r="A117" t="str">
            <v>Togo</v>
          </cell>
          <cell r="B117">
            <v>568</v>
          </cell>
        </row>
        <row r="118">
          <cell r="A118" t="str">
            <v>Liberia</v>
          </cell>
          <cell r="B118">
            <v>490</v>
          </cell>
        </row>
        <row r="119">
          <cell r="A119" t="str">
            <v>Albania</v>
          </cell>
          <cell r="B119">
            <v>424</v>
          </cell>
        </row>
        <row r="120">
          <cell r="A120" t="str">
            <v>Kyrgyzstan</v>
          </cell>
          <cell r="B120">
            <v>424</v>
          </cell>
        </row>
        <row r="121">
          <cell r="A121" t="str">
            <v>El Salvador</v>
          </cell>
          <cell r="B121">
            <v>562</v>
          </cell>
        </row>
        <row r="122">
          <cell r="A122" t="str">
            <v>Laos</v>
          </cell>
          <cell r="B122">
            <v>424</v>
          </cell>
        </row>
        <row r="123">
          <cell r="A123" t="str">
            <v>Philippines</v>
          </cell>
          <cell r="B123">
            <v>532</v>
          </cell>
        </row>
        <row r="124">
          <cell r="A124" t="str">
            <v>Eritrea</v>
          </cell>
          <cell r="B124">
            <v>306</v>
          </cell>
        </row>
        <row r="125">
          <cell r="A125" t="str">
            <v>Luxembourg</v>
          </cell>
          <cell r="B125">
            <v>275</v>
          </cell>
        </row>
        <row r="126">
          <cell r="A126" t="str">
            <v>Montenegro</v>
          </cell>
          <cell r="B126">
            <v>250</v>
          </cell>
        </row>
        <row r="127">
          <cell r="A127" t="str">
            <v>South Sudan</v>
          </cell>
          <cell r="B127">
            <v>248</v>
          </cell>
        </row>
        <row r="128">
          <cell r="A128" t="str">
            <v>Panama</v>
          </cell>
          <cell r="B128">
            <v>355</v>
          </cell>
        </row>
        <row r="129">
          <cell r="A129" t="str">
            <v>Eswatini</v>
          </cell>
          <cell r="B129">
            <v>301</v>
          </cell>
        </row>
        <row r="130">
          <cell r="A130" t="str">
            <v>Nepal</v>
          </cell>
          <cell r="B130">
            <v>59</v>
          </cell>
        </row>
        <row r="131">
          <cell r="A131" t="str">
            <v>Costa Rica</v>
          </cell>
          <cell r="B131">
            <v>278</v>
          </cell>
        </row>
        <row r="132">
          <cell r="A132" t="str">
            <v>Paraguay</v>
          </cell>
          <cell r="B132">
            <v>38</v>
          </cell>
        </row>
        <row r="133">
          <cell r="A133" t="str">
            <v>Afghanistan</v>
          </cell>
          <cell r="B133">
            <v>75</v>
          </cell>
        </row>
        <row r="134">
          <cell r="A134" t="str">
            <v>Hong Kong</v>
          </cell>
          <cell r="B134">
            <v>268</v>
          </cell>
        </row>
        <row r="135">
          <cell r="A135" t="str">
            <v>Djibouti</v>
          </cell>
          <cell r="B135">
            <v>97</v>
          </cell>
        </row>
        <row r="136">
          <cell r="A136" t="str">
            <v>Singapore</v>
          </cell>
          <cell r="B136">
            <v>240</v>
          </cell>
        </row>
        <row r="137">
          <cell r="A137" t="str">
            <v>Suriname</v>
          </cell>
          <cell r="B137">
            <v>166</v>
          </cell>
        </row>
        <row r="138">
          <cell r="A138" t="str">
            <v>Niger</v>
          </cell>
          <cell r="B138">
            <v>143</v>
          </cell>
        </row>
        <row r="139">
          <cell r="A139" t="str">
            <v>Guyana</v>
          </cell>
          <cell r="B139">
            <v>127</v>
          </cell>
        </row>
        <row r="140">
          <cell r="A140" t="str">
            <v>Sierra Leone</v>
          </cell>
          <cell r="B140">
            <v>84</v>
          </cell>
        </row>
        <row r="141">
          <cell r="A141" t="str">
            <v>Qatar</v>
          </cell>
          <cell r="B141">
            <v>82</v>
          </cell>
        </row>
        <row r="142">
          <cell r="A142" t="str">
            <v>Jamaica</v>
          </cell>
          <cell r="B142">
            <v>65</v>
          </cell>
        </row>
        <row r="143">
          <cell r="A143" t="str">
            <v>Saint Kitts and Nevis</v>
          </cell>
          <cell r="B143">
            <v>58</v>
          </cell>
        </row>
        <row r="144">
          <cell r="A144" t="str">
            <v>Mauritius</v>
          </cell>
          <cell r="B144">
            <v>30</v>
          </cell>
        </row>
        <row r="145">
          <cell r="A145" t="str">
            <v>Puerto Rico</v>
          </cell>
          <cell r="B145">
            <v>17</v>
          </cell>
        </row>
        <row r="146">
          <cell r="A146" t="str">
            <v>Brunei</v>
          </cell>
          <cell r="B146">
            <v>13</v>
          </cell>
        </row>
        <row r="147">
          <cell r="A147" t="str">
            <v>Macau</v>
          </cell>
          <cell r="B147">
            <v>12</v>
          </cell>
        </row>
        <row r="148">
          <cell r="A148" t="str">
            <v>Liechtenstein</v>
          </cell>
          <cell r="B148">
            <v>9.5</v>
          </cell>
        </row>
        <row r="149">
          <cell r="A149" t="str">
            <v>Nauru</v>
          </cell>
          <cell r="B149">
            <v>3.9</v>
          </cell>
        </row>
        <row r="150">
          <cell r="A150" t="str">
            <v>Monaco</v>
          </cell>
          <cell r="B150">
            <v>1.7</v>
          </cell>
        </row>
        <row r="151">
          <cell r="A151" t="str">
            <v>Lesotho</v>
          </cell>
          <cell r="B151">
            <v>1.6</v>
          </cell>
        </row>
        <row r="152">
          <cell r="A152" t="str">
            <v>Vatican City</v>
          </cell>
          <cell r="B152">
            <v>0.3</v>
          </cell>
        </row>
        <row r="153">
          <cell r="A153" t="str">
            <v>European Union[lower-alpha 9]</v>
          </cell>
          <cell r="B153">
            <v>211430</v>
          </cell>
        </row>
        <row r="154">
          <cell r="A154" t="str">
            <v>World</v>
          </cell>
          <cell r="B154">
            <v>1374001</v>
          </cell>
        </row>
        <row r="155">
          <cell r="B155">
            <v>7435</v>
          </cell>
        </row>
        <row r="156">
          <cell r="B156">
            <v>5031</v>
          </cell>
        </row>
        <row r="157">
          <cell r="B157">
            <v>4007</v>
          </cell>
        </row>
        <row r="158">
          <cell r="B158">
            <v>660</v>
          </cell>
        </row>
        <row r="159">
          <cell r="B159">
            <v>510</v>
          </cell>
        </row>
        <row r="160">
          <cell r="B160">
            <v>437</v>
          </cell>
        </row>
        <row r="161">
          <cell r="B161">
            <v>401</v>
          </cell>
        </row>
        <row r="162">
          <cell r="B162">
            <v>63</v>
          </cell>
        </row>
        <row r="163">
          <cell r="B163">
            <v>18</v>
          </cell>
        </row>
        <row r="164">
          <cell r="B164">
            <v>4007</v>
          </cell>
        </row>
        <row r="165">
          <cell r="B165">
            <v>2000</v>
          </cell>
        </row>
        <row r="166">
          <cell r="B166">
            <v>510</v>
          </cell>
        </row>
        <row r="167">
          <cell r="B167">
            <v>437</v>
          </cell>
        </row>
        <row r="168">
          <cell r="B168">
            <v>401</v>
          </cell>
        </row>
        <row r="169">
          <cell r="B169">
            <v>0</v>
          </cell>
        </row>
        <row r="170">
          <cell r="B170">
            <v>0</v>
          </cell>
        </row>
        <row r="171">
          <cell r="B171">
            <v>0</v>
          </cell>
        </row>
        <row r="172">
          <cell r="B172">
            <v>0</v>
          </cell>
        </row>
        <row r="173">
          <cell r="B173">
            <v>0</v>
          </cell>
        </row>
        <row r="174">
          <cell r="B174">
            <v>0</v>
          </cell>
        </row>
        <row r="175">
          <cell r="B175">
            <v>0</v>
          </cell>
        </row>
        <row r="176">
          <cell r="B176">
            <v>0</v>
          </cell>
        </row>
        <row r="177">
          <cell r="B177">
            <v>0</v>
          </cell>
        </row>
        <row r="178">
          <cell r="B178">
            <v>0</v>
          </cell>
        </row>
        <row r="179">
          <cell r="B179">
            <v>0</v>
          </cell>
        </row>
      </sheetData>
      <sheetData sheetId="22">
        <row r="1">
          <cell r="A1" t="str">
            <v>Country (or dependency)</v>
          </cell>
          <cell r="B1" t="str">
            <v>Population (2024)</v>
          </cell>
          <cell r="C1" t="str">
            <v>Land Area (Km²)</v>
          </cell>
          <cell r="E1" t="str">
            <v>Urban Population</v>
          </cell>
        </row>
        <row r="2">
          <cell r="A2" t="str">
            <v>India</v>
          </cell>
          <cell r="B2">
            <v>1450935791</v>
          </cell>
          <cell r="C2">
            <v>2973190</v>
          </cell>
          <cell r="E2">
            <v>536846243</v>
          </cell>
        </row>
        <row r="3">
          <cell r="A3" t="str">
            <v>China</v>
          </cell>
          <cell r="B3">
            <v>1419321278</v>
          </cell>
          <cell r="C3">
            <v>9388211</v>
          </cell>
          <cell r="E3">
            <v>936752043</v>
          </cell>
        </row>
        <row r="4">
          <cell r="A4" t="str">
            <v>United States</v>
          </cell>
          <cell r="B4">
            <v>345426571</v>
          </cell>
          <cell r="C4">
            <v>9147420</v>
          </cell>
          <cell r="E4">
            <v>283249788</v>
          </cell>
        </row>
        <row r="5">
          <cell r="A5" t="str">
            <v>Indonesia</v>
          </cell>
          <cell r="B5">
            <v>283487931</v>
          </cell>
          <cell r="C5">
            <v>1811570</v>
          </cell>
          <cell r="E5">
            <v>167257879</v>
          </cell>
        </row>
        <row r="6">
          <cell r="A6" t="str">
            <v>Pakistan</v>
          </cell>
          <cell r="B6">
            <v>251269164</v>
          </cell>
          <cell r="C6">
            <v>770880</v>
          </cell>
          <cell r="E6">
            <v>85431516</v>
          </cell>
        </row>
        <row r="7">
          <cell r="A7" t="str">
            <v>Nigeria</v>
          </cell>
          <cell r="B7">
            <v>232679478</v>
          </cell>
          <cell r="C7">
            <v>910770</v>
          </cell>
          <cell r="E7">
            <v>125646918</v>
          </cell>
        </row>
        <row r="8">
          <cell r="A8" t="str">
            <v>Brazil</v>
          </cell>
          <cell r="B8">
            <v>211998573</v>
          </cell>
          <cell r="C8">
            <v>8358140</v>
          </cell>
          <cell r="E8">
            <v>192918701</v>
          </cell>
        </row>
        <row r="9">
          <cell r="A9" t="str">
            <v>Bangladesh</v>
          </cell>
          <cell r="B9">
            <v>173562364</v>
          </cell>
          <cell r="C9">
            <v>130170</v>
          </cell>
          <cell r="E9">
            <v>72896193</v>
          </cell>
        </row>
        <row r="10">
          <cell r="A10" t="str">
            <v>Russia</v>
          </cell>
          <cell r="B10">
            <v>144820423</v>
          </cell>
          <cell r="C10">
            <v>16376870</v>
          </cell>
          <cell r="E10">
            <v>108615317</v>
          </cell>
        </row>
        <row r="11">
          <cell r="A11" t="str">
            <v>Ethiopia</v>
          </cell>
          <cell r="B11">
            <v>132059767</v>
          </cell>
          <cell r="C11">
            <v>1000000</v>
          </cell>
          <cell r="E11">
            <v>29053149</v>
          </cell>
        </row>
        <row r="12">
          <cell r="A12" t="str">
            <v>Mexico</v>
          </cell>
          <cell r="B12">
            <v>130861007</v>
          </cell>
          <cell r="C12">
            <v>1943950</v>
          </cell>
          <cell r="E12">
            <v>113849076</v>
          </cell>
        </row>
        <row r="13">
          <cell r="A13" t="str">
            <v>Japan</v>
          </cell>
          <cell r="B13">
            <v>123753041</v>
          </cell>
          <cell r="C13">
            <v>364555</v>
          </cell>
          <cell r="E13">
            <v>115090328</v>
          </cell>
        </row>
        <row r="14">
          <cell r="A14" t="str">
            <v>Egypt</v>
          </cell>
          <cell r="B14">
            <v>116538258</v>
          </cell>
          <cell r="C14">
            <v>995450</v>
          </cell>
          <cell r="E14">
            <v>47780686</v>
          </cell>
        </row>
        <row r="15">
          <cell r="A15" t="str">
            <v>Philippines</v>
          </cell>
          <cell r="B15">
            <v>115843670</v>
          </cell>
          <cell r="C15">
            <v>298170</v>
          </cell>
          <cell r="E15">
            <v>56763398</v>
          </cell>
        </row>
        <row r="16">
          <cell r="A16" t="str">
            <v>DR Congo</v>
          </cell>
          <cell r="B16">
            <v>109276265</v>
          </cell>
          <cell r="C16">
            <v>2267050</v>
          </cell>
          <cell r="E16">
            <v>48081557</v>
          </cell>
        </row>
        <row r="17">
          <cell r="A17" t="str">
            <v>Vietnam</v>
          </cell>
          <cell r="B17">
            <v>100987686</v>
          </cell>
          <cell r="C17">
            <v>310070</v>
          </cell>
          <cell r="E17">
            <v>41404951</v>
          </cell>
        </row>
        <row r="18">
          <cell r="A18" t="str">
            <v>Iran</v>
          </cell>
          <cell r="B18">
            <v>91567738</v>
          </cell>
          <cell r="C18">
            <v>1628550</v>
          </cell>
          <cell r="E18">
            <v>66844449</v>
          </cell>
        </row>
        <row r="19">
          <cell r="A19" t="str">
            <v>Turkey</v>
          </cell>
          <cell r="B19">
            <v>87473805</v>
          </cell>
          <cell r="C19">
            <v>769630</v>
          </cell>
          <cell r="E19">
            <v>66480092</v>
          </cell>
        </row>
        <row r="20">
          <cell r="A20" t="str">
            <v>Germany</v>
          </cell>
          <cell r="B20">
            <v>84552242</v>
          </cell>
          <cell r="C20">
            <v>348560</v>
          </cell>
          <cell r="E20">
            <v>64259704</v>
          </cell>
        </row>
        <row r="21">
          <cell r="A21" t="str">
            <v>Thailand</v>
          </cell>
          <cell r="B21">
            <v>71668011</v>
          </cell>
          <cell r="C21">
            <v>510890</v>
          </cell>
          <cell r="E21">
            <v>37984046</v>
          </cell>
        </row>
        <row r="22">
          <cell r="A22" t="str">
            <v>United Kingdom</v>
          </cell>
          <cell r="B22">
            <v>69138192</v>
          </cell>
          <cell r="C22">
            <v>241930</v>
          </cell>
          <cell r="E22">
            <v>58076081</v>
          </cell>
        </row>
        <row r="23">
          <cell r="A23" t="str">
            <v>Tanzania</v>
          </cell>
          <cell r="B23">
            <v>68560157</v>
          </cell>
          <cell r="C23">
            <v>885800</v>
          </cell>
          <cell r="E23">
            <v>26738461</v>
          </cell>
        </row>
        <row r="24">
          <cell r="A24" t="str">
            <v>France</v>
          </cell>
          <cell r="B24">
            <v>66548530</v>
          </cell>
          <cell r="C24">
            <v>547557</v>
          </cell>
          <cell r="E24">
            <v>54569795</v>
          </cell>
        </row>
        <row r="25">
          <cell r="A25" t="str">
            <v>South Africa</v>
          </cell>
          <cell r="B25">
            <v>64007187</v>
          </cell>
          <cell r="C25">
            <v>1213090</v>
          </cell>
          <cell r="E25">
            <v>42244743</v>
          </cell>
        </row>
        <row r="26">
          <cell r="A26" t="str">
            <v>Italy</v>
          </cell>
          <cell r="B26">
            <v>59342867</v>
          </cell>
          <cell r="C26">
            <v>294140</v>
          </cell>
          <cell r="E26">
            <v>42726864</v>
          </cell>
        </row>
        <row r="27">
          <cell r="A27" t="str">
            <v>Kenya</v>
          </cell>
          <cell r="B27">
            <v>56432944</v>
          </cell>
          <cell r="C27">
            <v>569140</v>
          </cell>
          <cell r="E27">
            <v>17494213</v>
          </cell>
        </row>
        <row r="28">
          <cell r="A28" t="str">
            <v>Myanmar</v>
          </cell>
          <cell r="B28">
            <v>54500091</v>
          </cell>
          <cell r="C28">
            <v>653290</v>
          </cell>
          <cell r="E28">
            <v>18530031</v>
          </cell>
        </row>
        <row r="29">
          <cell r="A29" t="str">
            <v>Colombia</v>
          </cell>
          <cell r="B29">
            <v>52886363</v>
          </cell>
          <cell r="C29">
            <v>1109500</v>
          </cell>
          <cell r="E29">
            <v>42837954</v>
          </cell>
        </row>
        <row r="30">
          <cell r="A30" t="str">
            <v>South Korea</v>
          </cell>
          <cell r="B30">
            <v>51717590</v>
          </cell>
          <cell r="C30">
            <v>97230</v>
          </cell>
          <cell r="E30">
            <v>42408424</v>
          </cell>
        </row>
        <row r="31">
          <cell r="A31" t="str">
            <v>Sudan</v>
          </cell>
          <cell r="B31">
            <v>50448963</v>
          </cell>
          <cell r="C31">
            <v>1765048</v>
          </cell>
          <cell r="E31">
            <v>17657137</v>
          </cell>
        </row>
        <row r="32">
          <cell r="A32" t="str">
            <v>Uganda</v>
          </cell>
          <cell r="B32">
            <v>50015092</v>
          </cell>
          <cell r="C32">
            <v>199810</v>
          </cell>
          <cell r="E32">
            <v>14504377</v>
          </cell>
        </row>
        <row r="33">
          <cell r="A33" t="str">
            <v>Spain</v>
          </cell>
          <cell r="B33">
            <v>47910526</v>
          </cell>
          <cell r="C33">
            <v>498800</v>
          </cell>
          <cell r="E33">
            <v>37849316</v>
          </cell>
        </row>
        <row r="34">
          <cell r="A34" t="str">
            <v>Algeria</v>
          </cell>
          <cell r="B34">
            <v>46814308</v>
          </cell>
          <cell r="C34">
            <v>2381740</v>
          </cell>
          <cell r="E34">
            <v>34642588</v>
          </cell>
        </row>
        <row r="35">
          <cell r="A35" t="str">
            <v>Iraq</v>
          </cell>
          <cell r="B35">
            <v>46042015</v>
          </cell>
          <cell r="C35">
            <v>434320</v>
          </cell>
          <cell r="E35">
            <v>33150251</v>
          </cell>
        </row>
        <row r="36">
          <cell r="A36" t="str">
            <v>Argentina</v>
          </cell>
          <cell r="B36">
            <v>45696159</v>
          </cell>
          <cell r="C36">
            <v>2736690</v>
          </cell>
          <cell r="E36">
            <v>43411351</v>
          </cell>
        </row>
        <row r="37">
          <cell r="A37" t="str">
            <v>Afghanistan</v>
          </cell>
          <cell r="B37">
            <v>42647492</v>
          </cell>
          <cell r="C37">
            <v>652860</v>
          </cell>
          <cell r="E37">
            <v>11514823</v>
          </cell>
        </row>
        <row r="38">
          <cell r="A38" t="str">
            <v>Yemen</v>
          </cell>
          <cell r="B38">
            <v>40583164</v>
          </cell>
          <cell r="C38">
            <v>527970</v>
          </cell>
          <cell r="E38">
            <v>13392444</v>
          </cell>
        </row>
        <row r="39">
          <cell r="A39" t="str">
            <v>Canada</v>
          </cell>
          <cell r="B39">
            <v>39742430</v>
          </cell>
          <cell r="C39">
            <v>9093510</v>
          </cell>
          <cell r="E39">
            <v>31793944</v>
          </cell>
        </row>
        <row r="40">
          <cell r="A40" t="str">
            <v>Poland</v>
          </cell>
          <cell r="B40">
            <v>38539201</v>
          </cell>
          <cell r="C40">
            <v>306230</v>
          </cell>
          <cell r="E40">
            <v>22738129</v>
          </cell>
        </row>
        <row r="41">
          <cell r="A41" t="str">
            <v>Morocco</v>
          </cell>
          <cell r="B41">
            <v>38081173</v>
          </cell>
          <cell r="C41">
            <v>446300</v>
          </cell>
          <cell r="E41">
            <v>25514386</v>
          </cell>
        </row>
        <row r="42">
          <cell r="A42" t="str">
            <v>Angola</v>
          </cell>
          <cell r="B42">
            <v>37885849</v>
          </cell>
          <cell r="C42">
            <v>1246700</v>
          </cell>
          <cell r="E42">
            <v>25762377</v>
          </cell>
        </row>
        <row r="43">
          <cell r="A43" t="str">
            <v>Ukraine</v>
          </cell>
          <cell r="B43">
            <v>37860221</v>
          </cell>
          <cell r="C43">
            <v>579320</v>
          </cell>
          <cell r="E43">
            <v>29909575</v>
          </cell>
        </row>
        <row r="44">
          <cell r="A44" t="str">
            <v>Uzbekistan</v>
          </cell>
          <cell r="B44">
            <v>36361859</v>
          </cell>
          <cell r="C44">
            <v>425400</v>
          </cell>
          <cell r="E44">
            <v>17453692</v>
          </cell>
        </row>
        <row r="45">
          <cell r="A45" t="str">
            <v>Malaysia</v>
          </cell>
          <cell r="B45">
            <v>35557673</v>
          </cell>
          <cell r="C45">
            <v>328550</v>
          </cell>
          <cell r="E45">
            <v>27379408</v>
          </cell>
        </row>
        <row r="46">
          <cell r="A46" t="str">
            <v>Mozambique</v>
          </cell>
          <cell r="B46">
            <v>34631766</v>
          </cell>
          <cell r="C46">
            <v>786380</v>
          </cell>
          <cell r="E46">
            <v>14199024</v>
          </cell>
        </row>
        <row r="47">
          <cell r="A47" t="str">
            <v>Ghana</v>
          </cell>
          <cell r="B47">
            <v>34427414</v>
          </cell>
          <cell r="C47">
            <v>227540</v>
          </cell>
          <cell r="E47">
            <v>19967900</v>
          </cell>
        </row>
        <row r="48">
          <cell r="A48" t="str">
            <v>Peru</v>
          </cell>
          <cell r="B48">
            <v>34217848</v>
          </cell>
          <cell r="C48">
            <v>1280000</v>
          </cell>
          <cell r="E48">
            <v>27374278</v>
          </cell>
        </row>
        <row r="49">
          <cell r="A49" t="str">
            <v>Saudi Arabia</v>
          </cell>
          <cell r="B49">
            <v>33962757</v>
          </cell>
          <cell r="C49">
            <v>2149690</v>
          </cell>
          <cell r="E49">
            <v>31245736</v>
          </cell>
        </row>
        <row r="50">
          <cell r="A50" t="str">
            <v>Madagascar</v>
          </cell>
          <cell r="B50">
            <v>31964956</v>
          </cell>
          <cell r="C50">
            <v>581795</v>
          </cell>
          <cell r="E50">
            <v>12785982</v>
          </cell>
        </row>
        <row r="51">
          <cell r="A51" t="str">
            <v>Côte d'Ivoire</v>
          </cell>
          <cell r="B51">
            <v>31934230</v>
          </cell>
          <cell r="C51">
            <v>318000</v>
          </cell>
          <cell r="E51">
            <v>15647773</v>
          </cell>
        </row>
        <row r="52">
          <cell r="A52" t="str">
            <v>Nepal</v>
          </cell>
          <cell r="B52">
            <v>29651054</v>
          </cell>
          <cell r="C52">
            <v>143350</v>
          </cell>
          <cell r="E52">
            <v>7116253</v>
          </cell>
        </row>
        <row r="53">
          <cell r="A53" t="str">
            <v>Cameroon</v>
          </cell>
          <cell r="B53">
            <v>29123744</v>
          </cell>
          <cell r="C53">
            <v>472710</v>
          </cell>
          <cell r="E53">
            <v>17183009</v>
          </cell>
        </row>
        <row r="54">
          <cell r="A54" t="str">
            <v>Venezuela</v>
          </cell>
          <cell r="B54">
            <v>28405543</v>
          </cell>
          <cell r="C54">
            <v>882050</v>
          </cell>
          <cell r="E54">
            <v>0</v>
          </cell>
        </row>
        <row r="55">
          <cell r="A55" t="str">
            <v>Niger</v>
          </cell>
          <cell r="B55">
            <v>27032412</v>
          </cell>
          <cell r="C55">
            <v>1266700</v>
          </cell>
          <cell r="E55">
            <v>4865834</v>
          </cell>
        </row>
        <row r="56">
          <cell r="A56" t="str">
            <v>Australia</v>
          </cell>
          <cell r="B56">
            <v>26713205</v>
          </cell>
          <cell r="C56">
            <v>7682300</v>
          </cell>
          <cell r="E56">
            <v>22973356</v>
          </cell>
        </row>
        <row r="57">
          <cell r="A57" t="str">
            <v>North Korea</v>
          </cell>
          <cell r="B57">
            <v>26498823</v>
          </cell>
          <cell r="C57">
            <v>120410</v>
          </cell>
          <cell r="E57">
            <v>16694258</v>
          </cell>
        </row>
        <row r="58">
          <cell r="A58" t="str">
            <v>Syria</v>
          </cell>
          <cell r="B58">
            <v>24672760</v>
          </cell>
          <cell r="C58">
            <v>183630</v>
          </cell>
          <cell r="E58">
            <v>13076563</v>
          </cell>
        </row>
        <row r="59">
          <cell r="A59" t="str">
            <v>Mali</v>
          </cell>
          <cell r="B59">
            <v>24478595</v>
          </cell>
          <cell r="C59">
            <v>1220190</v>
          </cell>
          <cell r="E59">
            <v>10770582</v>
          </cell>
        </row>
        <row r="60">
          <cell r="A60" t="str">
            <v>Burkina Faso</v>
          </cell>
          <cell r="B60">
            <v>23548781</v>
          </cell>
          <cell r="C60">
            <v>273600</v>
          </cell>
          <cell r="E60">
            <v>7771098</v>
          </cell>
        </row>
        <row r="61">
          <cell r="A61" t="str">
            <v>Taiwan</v>
          </cell>
          <cell r="B61">
            <v>23213962</v>
          </cell>
          <cell r="C61">
            <v>35410</v>
          </cell>
          <cell r="E61">
            <v>19267588</v>
          </cell>
        </row>
        <row r="62">
          <cell r="A62" t="str">
            <v>Sri Lanka</v>
          </cell>
          <cell r="B62">
            <v>23103565</v>
          </cell>
          <cell r="C62">
            <v>62710</v>
          </cell>
          <cell r="E62">
            <v>4158642</v>
          </cell>
        </row>
        <row r="63">
          <cell r="A63" t="str">
            <v>Malawi</v>
          </cell>
          <cell r="B63">
            <v>21655286</v>
          </cell>
          <cell r="C63">
            <v>94280</v>
          </cell>
          <cell r="E63">
            <v>4114504</v>
          </cell>
        </row>
        <row r="64">
          <cell r="A64" t="str">
            <v>Zambia</v>
          </cell>
          <cell r="B64">
            <v>21314956</v>
          </cell>
          <cell r="C64">
            <v>743390</v>
          </cell>
          <cell r="E64">
            <v>9804880</v>
          </cell>
        </row>
        <row r="65">
          <cell r="A65" t="str">
            <v>Kazakhstan</v>
          </cell>
          <cell r="B65">
            <v>20592571</v>
          </cell>
          <cell r="C65">
            <v>2699700</v>
          </cell>
          <cell r="E65">
            <v>11325914</v>
          </cell>
        </row>
        <row r="66">
          <cell r="A66" t="str">
            <v>Chad</v>
          </cell>
          <cell r="B66">
            <v>20299123</v>
          </cell>
          <cell r="C66">
            <v>1259200</v>
          </cell>
          <cell r="E66">
            <v>4465807</v>
          </cell>
        </row>
        <row r="67">
          <cell r="A67" t="str">
            <v>Chile</v>
          </cell>
          <cell r="B67">
            <v>19764771</v>
          </cell>
          <cell r="C67">
            <v>743532</v>
          </cell>
          <cell r="E67">
            <v>16800055</v>
          </cell>
        </row>
        <row r="68">
          <cell r="A68" t="str">
            <v>Romania</v>
          </cell>
          <cell r="B68">
            <v>19015088</v>
          </cell>
          <cell r="C68">
            <v>230170</v>
          </cell>
          <cell r="E68">
            <v>10458298</v>
          </cell>
        </row>
        <row r="69">
          <cell r="A69" t="str">
            <v>Somalia</v>
          </cell>
          <cell r="B69">
            <v>19009151</v>
          </cell>
          <cell r="C69">
            <v>627340</v>
          </cell>
          <cell r="E69">
            <v>8744209</v>
          </cell>
        </row>
        <row r="70">
          <cell r="A70" t="str">
            <v>Senegal</v>
          </cell>
          <cell r="B70">
            <v>18501984</v>
          </cell>
          <cell r="C70">
            <v>192530</v>
          </cell>
          <cell r="E70">
            <v>9621032</v>
          </cell>
        </row>
        <row r="71">
          <cell r="A71" t="str">
            <v>Guatemala</v>
          </cell>
          <cell r="B71">
            <v>18406359</v>
          </cell>
          <cell r="C71">
            <v>107160</v>
          </cell>
          <cell r="E71">
            <v>10307561</v>
          </cell>
        </row>
        <row r="72">
          <cell r="A72" t="str">
            <v>Netherlands</v>
          </cell>
          <cell r="B72">
            <v>18228742</v>
          </cell>
          <cell r="C72">
            <v>33720</v>
          </cell>
          <cell r="E72">
            <v>16223580</v>
          </cell>
        </row>
        <row r="73">
          <cell r="A73" t="str">
            <v>Ecuador</v>
          </cell>
          <cell r="B73">
            <v>18135478</v>
          </cell>
          <cell r="C73">
            <v>248360</v>
          </cell>
          <cell r="E73">
            <v>11788061</v>
          </cell>
        </row>
        <row r="74">
          <cell r="A74" t="str">
            <v>Cambodia</v>
          </cell>
          <cell r="B74">
            <v>17638801</v>
          </cell>
          <cell r="C74">
            <v>176520</v>
          </cell>
          <cell r="E74">
            <v>4586088</v>
          </cell>
        </row>
        <row r="75">
          <cell r="A75" t="str">
            <v>Zimbabwe</v>
          </cell>
          <cell r="B75">
            <v>16634373</v>
          </cell>
          <cell r="C75">
            <v>386850</v>
          </cell>
          <cell r="E75">
            <v>6321062</v>
          </cell>
        </row>
        <row r="76">
          <cell r="A76" t="str">
            <v>Guinea</v>
          </cell>
          <cell r="B76">
            <v>14754785</v>
          </cell>
          <cell r="C76">
            <v>245720</v>
          </cell>
          <cell r="E76">
            <v>5901914</v>
          </cell>
        </row>
        <row r="77">
          <cell r="A77" t="str">
            <v>Benin</v>
          </cell>
          <cell r="B77">
            <v>14462724</v>
          </cell>
          <cell r="C77">
            <v>112760</v>
          </cell>
          <cell r="E77">
            <v>6797480</v>
          </cell>
        </row>
        <row r="78">
          <cell r="A78" t="str">
            <v>Rwanda</v>
          </cell>
          <cell r="B78">
            <v>14256567</v>
          </cell>
          <cell r="C78">
            <v>24670</v>
          </cell>
          <cell r="E78">
            <v>2566182</v>
          </cell>
        </row>
        <row r="79">
          <cell r="A79" t="str">
            <v>Burundi</v>
          </cell>
          <cell r="B79">
            <v>14047786</v>
          </cell>
          <cell r="C79">
            <v>25680</v>
          </cell>
          <cell r="E79">
            <v>1966690</v>
          </cell>
        </row>
        <row r="80">
          <cell r="A80" t="str">
            <v>Bolivia</v>
          </cell>
          <cell r="B80">
            <v>12413315</v>
          </cell>
          <cell r="C80">
            <v>1083300</v>
          </cell>
          <cell r="E80">
            <v>8689320</v>
          </cell>
        </row>
        <row r="81">
          <cell r="A81" t="str">
            <v>Tunisia</v>
          </cell>
          <cell r="B81">
            <v>12277109</v>
          </cell>
          <cell r="C81">
            <v>155360</v>
          </cell>
          <cell r="E81">
            <v>8716747</v>
          </cell>
        </row>
        <row r="82">
          <cell r="A82" t="str">
            <v>South Sudan</v>
          </cell>
          <cell r="B82">
            <v>11943408</v>
          </cell>
          <cell r="C82">
            <v>610952</v>
          </cell>
          <cell r="E82">
            <v>3224720</v>
          </cell>
        </row>
        <row r="83">
          <cell r="A83" t="str">
            <v>Haiti</v>
          </cell>
          <cell r="B83">
            <v>11772557</v>
          </cell>
          <cell r="C83">
            <v>27560</v>
          </cell>
          <cell r="E83">
            <v>7181260</v>
          </cell>
        </row>
        <row r="84">
          <cell r="A84" t="str">
            <v>Belgium</v>
          </cell>
          <cell r="B84">
            <v>11738763</v>
          </cell>
          <cell r="C84">
            <v>30280</v>
          </cell>
          <cell r="E84">
            <v>11621375</v>
          </cell>
        </row>
        <row r="85">
          <cell r="A85" t="str">
            <v>Jordan</v>
          </cell>
          <cell r="B85">
            <v>11552876</v>
          </cell>
          <cell r="C85">
            <v>88780</v>
          </cell>
          <cell r="E85">
            <v>9704416</v>
          </cell>
        </row>
        <row r="86">
          <cell r="A86" t="str">
            <v>Dominican Republic</v>
          </cell>
          <cell r="B86">
            <v>11427557</v>
          </cell>
          <cell r="C86">
            <v>48320</v>
          </cell>
          <cell r="E86">
            <v>9827699</v>
          </cell>
        </row>
        <row r="87">
          <cell r="A87" t="str">
            <v>United Arab Emirates</v>
          </cell>
          <cell r="B87">
            <v>11027129</v>
          </cell>
          <cell r="C87">
            <v>83600</v>
          </cell>
          <cell r="E87">
            <v>9042246</v>
          </cell>
        </row>
        <row r="88">
          <cell r="A88" t="str">
            <v>Cuba</v>
          </cell>
          <cell r="B88">
            <v>10979783</v>
          </cell>
          <cell r="C88">
            <v>106440</v>
          </cell>
          <cell r="E88">
            <v>8893624</v>
          </cell>
        </row>
        <row r="89">
          <cell r="A89" t="str">
            <v>Honduras</v>
          </cell>
          <cell r="B89">
            <v>10825703</v>
          </cell>
          <cell r="C89">
            <v>111890</v>
          </cell>
          <cell r="E89">
            <v>6278908</v>
          </cell>
        </row>
        <row r="90">
          <cell r="A90" t="str">
            <v>Czech Republic</v>
          </cell>
          <cell r="B90">
            <v>10735859</v>
          </cell>
          <cell r="C90">
            <v>77240</v>
          </cell>
          <cell r="E90">
            <v>7944536</v>
          </cell>
        </row>
        <row r="91">
          <cell r="A91" t="str">
            <v>Sweden</v>
          </cell>
          <cell r="B91">
            <v>10606999</v>
          </cell>
          <cell r="C91">
            <v>410340</v>
          </cell>
          <cell r="E91">
            <v>9228089</v>
          </cell>
        </row>
        <row r="92">
          <cell r="A92" t="str">
            <v>Tajikistan</v>
          </cell>
          <cell r="B92">
            <v>10590927</v>
          </cell>
          <cell r="C92">
            <v>139960</v>
          </cell>
          <cell r="E92">
            <v>2859550</v>
          </cell>
        </row>
        <row r="93">
          <cell r="A93" t="str">
            <v>Papua New Guinea</v>
          </cell>
          <cell r="B93">
            <v>10576502</v>
          </cell>
          <cell r="C93">
            <v>452860</v>
          </cell>
          <cell r="E93">
            <v>1269180</v>
          </cell>
        </row>
        <row r="94">
          <cell r="A94" t="str">
            <v>Portugal</v>
          </cell>
          <cell r="B94">
            <v>10425292</v>
          </cell>
          <cell r="C94">
            <v>91590</v>
          </cell>
          <cell r="E94">
            <v>6880693</v>
          </cell>
        </row>
        <row r="95">
          <cell r="A95" t="str">
            <v>Azerbaijan</v>
          </cell>
          <cell r="B95">
            <v>10336577</v>
          </cell>
          <cell r="C95">
            <v>82658</v>
          </cell>
          <cell r="E95">
            <v>5995215</v>
          </cell>
        </row>
        <row r="96">
          <cell r="A96" t="str">
            <v>Greece</v>
          </cell>
          <cell r="B96">
            <v>10047817</v>
          </cell>
          <cell r="C96">
            <v>128900</v>
          </cell>
          <cell r="E96">
            <v>8842079</v>
          </cell>
        </row>
        <row r="97">
          <cell r="A97" t="str">
            <v>Hungary</v>
          </cell>
          <cell r="B97">
            <v>9676135</v>
          </cell>
          <cell r="C97">
            <v>90530</v>
          </cell>
          <cell r="E97">
            <v>6966817</v>
          </cell>
        </row>
        <row r="98">
          <cell r="A98" t="str">
            <v>Togo</v>
          </cell>
          <cell r="B98">
            <v>9515236</v>
          </cell>
          <cell r="C98">
            <v>54390</v>
          </cell>
          <cell r="E98">
            <v>4186704</v>
          </cell>
        </row>
        <row r="99">
          <cell r="A99" t="str">
            <v>Israel</v>
          </cell>
          <cell r="B99">
            <v>9387021</v>
          </cell>
          <cell r="C99">
            <v>21640</v>
          </cell>
          <cell r="E99">
            <v>8542189</v>
          </cell>
        </row>
        <row r="100">
          <cell r="A100" t="str">
            <v>Austria</v>
          </cell>
          <cell r="B100">
            <v>9120813</v>
          </cell>
          <cell r="C100">
            <v>82409</v>
          </cell>
          <cell r="E100">
            <v>5290072</v>
          </cell>
        </row>
        <row r="101">
          <cell r="A101" t="str">
            <v>Belarus</v>
          </cell>
          <cell r="B101">
            <v>9056696</v>
          </cell>
          <cell r="C101">
            <v>202910</v>
          </cell>
          <cell r="E101">
            <v>7607625</v>
          </cell>
        </row>
        <row r="102">
          <cell r="A102" t="str">
            <v>Switzerland</v>
          </cell>
          <cell r="B102">
            <v>8921981</v>
          </cell>
          <cell r="C102">
            <v>39516</v>
          </cell>
          <cell r="E102">
            <v>6602266</v>
          </cell>
        </row>
        <row r="103">
          <cell r="A103" t="str">
            <v>Sierra Leone</v>
          </cell>
          <cell r="B103">
            <v>8642022</v>
          </cell>
          <cell r="C103">
            <v>72180</v>
          </cell>
          <cell r="E103">
            <v>3888910</v>
          </cell>
        </row>
        <row r="104">
          <cell r="A104" t="str">
            <v>Laos</v>
          </cell>
          <cell r="B104">
            <v>7769819</v>
          </cell>
          <cell r="C104">
            <v>230800</v>
          </cell>
          <cell r="E104">
            <v>2952531</v>
          </cell>
        </row>
        <row r="105">
          <cell r="A105" t="str">
            <v>Turkmenistan</v>
          </cell>
          <cell r="B105">
            <v>7494498</v>
          </cell>
          <cell r="C105">
            <v>469930</v>
          </cell>
          <cell r="E105">
            <v>3447469</v>
          </cell>
        </row>
        <row r="106">
          <cell r="A106" t="str">
            <v>Hong Kong</v>
          </cell>
          <cell r="B106">
            <v>7414909</v>
          </cell>
          <cell r="C106">
            <v>1050</v>
          </cell>
          <cell r="E106">
            <v>0</v>
          </cell>
        </row>
        <row r="107">
          <cell r="A107" t="str">
            <v>Libya</v>
          </cell>
          <cell r="B107">
            <v>7381023</v>
          </cell>
          <cell r="C107">
            <v>1759540</v>
          </cell>
          <cell r="E107">
            <v>5683388</v>
          </cell>
        </row>
        <row r="108">
          <cell r="A108" t="str">
            <v>Kyrgyzstan</v>
          </cell>
          <cell r="B108">
            <v>7186009</v>
          </cell>
          <cell r="C108">
            <v>191800</v>
          </cell>
          <cell r="E108">
            <v>2515103</v>
          </cell>
        </row>
        <row r="109">
          <cell r="A109" t="str">
            <v>Paraguay</v>
          </cell>
          <cell r="B109">
            <v>6929153</v>
          </cell>
          <cell r="C109">
            <v>397300</v>
          </cell>
          <cell r="E109">
            <v>4711824</v>
          </cell>
        </row>
        <row r="110">
          <cell r="A110" t="str">
            <v>Nicaragua</v>
          </cell>
          <cell r="B110">
            <v>6916140</v>
          </cell>
          <cell r="C110">
            <v>120340</v>
          </cell>
          <cell r="E110">
            <v>4011361</v>
          </cell>
        </row>
        <row r="111">
          <cell r="A111" t="str">
            <v>Bulgaria</v>
          </cell>
          <cell r="B111">
            <v>6757689</v>
          </cell>
          <cell r="C111">
            <v>108560</v>
          </cell>
          <cell r="E111">
            <v>5203421</v>
          </cell>
        </row>
        <row r="112">
          <cell r="A112" t="str">
            <v>Serbia</v>
          </cell>
          <cell r="B112">
            <v>6736216</v>
          </cell>
          <cell r="C112">
            <v>87460</v>
          </cell>
          <cell r="E112">
            <v>4917438</v>
          </cell>
        </row>
        <row r="113">
          <cell r="A113" t="str">
            <v>El Salvador</v>
          </cell>
          <cell r="B113">
            <v>6338193</v>
          </cell>
          <cell r="C113">
            <v>20720</v>
          </cell>
          <cell r="E113">
            <v>5007172</v>
          </cell>
        </row>
        <row r="114">
          <cell r="A114" t="str">
            <v>Congo</v>
          </cell>
          <cell r="B114">
            <v>6332961</v>
          </cell>
          <cell r="C114">
            <v>341500</v>
          </cell>
          <cell r="E114">
            <v>4369743</v>
          </cell>
        </row>
        <row r="115">
          <cell r="A115" t="str">
            <v>Denmark</v>
          </cell>
          <cell r="B115">
            <v>5977412</v>
          </cell>
          <cell r="C115">
            <v>42430</v>
          </cell>
          <cell r="E115">
            <v>5200348</v>
          </cell>
        </row>
        <row r="116">
          <cell r="A116" t="str">
            <v>Singapore</v>
          </cell>
          <cell r="B116">
            <v>5832387</v>
          </cell>
          <cell r="C116">
            <v>700</v>
          </cell>
          <cell r="E116">
            <v>0</v>
          </cell>
        </row>
        <row r="117">
          <cell r="A117" t="str">
            <v>Lebanon</v>
          </cell>
          <cell r="B117">
            <v>5805962</v>
          </cell>
          <cell r="C117">
            <v>10230</v>
          </cell>
          <cell r="E117">
            <v>5109247</v>
          </cell>
        </row>
        <row r="118">
          <cell r="A118" t="str">
            <v>Finland</v>
          </cell>
          <cell r="B118">
            <v>5617310</v>
          </cell>
          <cell r="C118">
            <v>303890</v>
          </cell>
          <cell r="E118">
            <v>4830887</v>
          </cell>
        </row>
        <row r="119">
          <cell r="A119" t="str">
            <v>Liberia</v>
          </cell>
          <cell r="B119">
            <v>5612817</v>
          </cell>
          <cell r="C119">
            <v>96320</v>
          </cell>
          <cell r="E119">
            <v>3030921</v>
          </cell>
        </row>
        <row r="120">
          <cell r="A120" t="str">
            <v>Norway</v>
          </cell>
          <cell r="B120">
            <v>5576660</v>
          </cell>
          <cell r="C120">
            <v>365268</v>
          </cell>
          <cell r="E120">
            <v>4795928</v>
          </cell>
        </row>
        <row r="121">
          <cell r="A121" t="str">
            <v>Slovakia</v>
          </cell>
          <cell r="B121">
            <v>5506760</v>
          </cell>
          <cell r="C121">
            <v>48088</v>
          </cell>
          <cell r="E121">
            <v>2973650</v>
          </cell>
        </row>
        <row r="122">
          <cell r="A122" t="str">
            <v>State of Palestine</v>
          </cell>
          <cell r="B122">
            <v>5495443</v>
          </cell>
          <cell r="C122">
            <v>6020</v>
          </cell>
          <cell r="E122">
            <v>4561218</v>
          </cell>
        </row>
        <row r="123">
          <cell r="A123" t="str">
            <v>Central African Republic</v>
          </cell>
          <cell r="B123">
            <v>5330690</v>
          </cell>
          <cell r="C123">
            <v>622980</v>
          </cell>
          <cell r="E123">
            <v>2345504</v>
          </cell>
        </row>
        <row r="124">
          <cell r="A124" t="str">
            <v>Oman</v>
          </cell>
          <cell r="B124">
            <v>5281538</v>
          </cell>
          <cell r="C124">
            <v>309500</v>
          </cell>
          <cell r="E124">
            <v>4911830</v>
          </cell>
        </row>
        <row r="125">
          <cell r="A125" t="str">
            <v>Ireland</v>
          </cell>
          <cell r="B125">
            <v>5255017</v>
          </cell>
          <cell r="C125">
            <v>68890</v>
          </cell>
          <cell r="E125">
            <v>3258111</v>
          </cell>
        </row>
        <row r="126">
          <cell r="A126" t="str">
            <v>New Zealand</v>
          </cell>
          <cell r="B126">
            <v>5213944</v>
          </cell>
          <cell r="C126">
            <v>263310</v>
          </cell>
          <cell r="E126">
            <v>4327574</v>
          </cell>
        </row>
        <row r="127">
          <cell r="A127" t="str">
            <v>Mauritania</v>
          </cell>
          <cell r="B127">
            <v>5169395</v>
          </cell>
          <cell r="C127">
            <v>1030700</v>
          </cell>
          <cell r="E127">
            <v>3101637</v>
          </cell>
        </row>
        <row r="128">
          <cell r="A128" t="str">
            <v>Costa Rica</v>
          </cell>
          <cell r="B128">
            <v>5129910</v>
          </cell>
          <cell r="C128">
            <v>51060</v>
          </cell>
          <cell r="E128">
            <v>4309124</v>
          </cell>
        </row>
        <row r="129">
          <cell r="A129" t="str">
            <v>Kuwait</v>
          </cell>
          <cell r="B129">
            <v>4934507</v>
          </cell>
          <cell r="C129">
            <v>17820</v>
          </cell>
          <cell r="E129">
            <v>4539746</v>
          </cell>
        </row>
        <row r="130">
          <cell r="A130" t="str">
            <v>Panama</v>
          </cell>
          <cell r="B130">
            <v>4515577</v>
          </cell>
          <cell r="C130">
            <v>74340</v>
          </cell>
          <cell r="E130">
            <v>3160904</v>
          </cell>
        </row>
        <row r="131">
          <cell r="A131" t="str">
            <v>Croatia</v>
          </cell>
          <cell r="B131">
            <v>3875325</v>
          </cell>
          <cell r="C131">
            <v>55960</v>
          </cell>
          <cell r="E131">
            <v>2363948</v>
          </cell>
        </row>
        <row r="132">
          <cell r="A132" t="str">
            <v>Georgia</v>
          </cell>
          <cell r="B132">
            <v>3807670</v>
          </cell>
          <cell r="C132">
            <v>69490</v>
          </cell>
          <cell r="E132">
            <v>2360755</v>
          </cell>
        </row>
        <row r="133">
          <cell r="A133" t="str">
            <v>Eritrea</v>
          </cell>
          <cell r="B133">
            <v>3535603</v>
          </cell>
          <cell r="C133">
            <v>101000</v>
          </cell>
          <cell r="E133">
            <v>2616346</v>
          </cell>
        </row>
        <row r="134">
          <cell r="A134" t="str">
            <v>Mongolia</v>
          </cell>
          <cell r="B134">
            <v>3475540</v>
          </cell>
          <cell r="C134">
            <v>1553560</v>
          </cell>
          <cell r="E134">
            <v>2328612</v>
          </cell>
        </row>
        <row r="135">
          <cell r="A135" t="str">
            <v>Uruguay</v>
          </cell>
          <cell r="B135">
            <v>3386588</v>
          </cell>
          <cell r="C135">
            <v>175020</v>
          </cell>
          <cell r="E135">
            <v>0</v>
          </cell>
        </row>
        <row r="136">
          <cell r="A136" t="str">
            <v>Puerto Rico</v>
          </cell>
          <cell r="B136">
            <v>3242204</v>
          </cell>
          <cell r="C136">
            <v>8870</v>
          </cell>
          <cell r="E136">
            <v>0</v>
          </cell>
        </row>
        <row r="137">
          <cell r="A137" t="str">
            <v>Bosnia and Herzegovina</v>
          </cell>
          <cell r="B137">
            <v>3164253</v>
          </cell>
          <cell r="C137">
            <v>51000</v>
          </cell>
          <cell r="E137">
            <v>1771982</v>
          </cell>
        </row>
        <row r="138">
          <cell r="A138" t="str">
            <v>Qatar</v>
          </cell>
          <cell r="B138">
            <v>3048423</v>
          </cell>
          <cell r="C138">
            <v>11610</v>
          </cell>
          <cell r="E138">
            <v>2956970</v>
          </cell>
        </row>
        <row r="139">
          <cell r="A139" t="str">
            <v>Moldova</v>
          </cell>
          <cell r="B139">
            <v>3034961</v>
          </cell>
          <cell r="C139">
            <v>32850</v>
          </cell>
          <cell r="E139">
            <v>1729928</v>
          </cell>
        </row>
        <row r="140">
          <cell r="A140" t="str">
            <v>Namibia</v>
          </cell>
          <cell r="B140">
            <v>3030131</v>
          </cell>
          <cell r="C140">
            <v>823290</v>
          </cell>
          <cell r="E140">
            <v>1636271</v>
          </cell>
        </row>
        <row r="141">
          <cell r="A141" t="str">
            <v>Armenia</v>
          </cell>
          <cell r="B141">
            <v>2973840</v>
          </cell>
          <cell r="C141">
            <v>28470</v>
          </cell>
          <cell r="E141">
            <v>1873519</v>
          </cell>
        </row>
        <row r="142">
          <cell r="A142" t="str">
            <v>Lithuania</v>
          </cell>
          <cell r="B142">
            <v>2859110</v>
          </cell>
          <cell r="C142">
            <v>62674</v>
          </cell>
          <cell r="E142">
            <v>1944195</v>
          </cell>
        </row>
        <row r="143">
          <cell r="A143" t="str">
            <v>Jamaica</v>
          </cell>
          <cell r="B143">
            <v>2839175</v>
          </cell>
          <cell r="C143">
            <v>10830</v>
          </cell>
          <cell r="E143">
            <v>1703505</v>
          </cell>
        </row>
        <row r="144">
          <cell r="A144" t="str">
            <v>Albania</v>
          </cell>
          <cell r="B144">
            <v>2791765</v>
          </cell>
          <cell r="C144">
            <v>27400</v>
          </cell>
          <cell r="E144">
            <v>1926318</v>
          </cell>
        </row>
        <row r="145">
          <cell r="A145" t="str">
            <v>Gambia</v>
          </cell>
          <cell r="B145">
            <v>2759988</v>
          </cell>
          <cell r="C145">
            <v>10120</v>
          </cell>
          <cell r="E145">
            <v>1655993</v>
          </cell>
        </row>
        <row r="146">
          <cell r="A146" t="str">
            <v>Gabon</v>
          </cell>
          <cell r="B146">
            <v>2538952</v>
          </cell>
          <cell r="C146">
            <v>257670</v>
          </cell>
          <cell r="E146">
            <v>2132720</v>
          </cell>
        </row>
        <row r="147">
          <cell r="A147" t="str">
            <v>Botswana</v>
          </cell>
          <cell r="B147">
            <v>2521139</v>
          </cell>
          <cell r="C147">
            <v>566730</v>
          </cell>
          <cell r="E147">
            <v>1890854</v>
          </cell>
        </row>
        <row r="148">
          <cell r="A148" t="str">
            <v>Lesotho</v>
          </cell>
          <cell r="B148">
            <v>2337423</v>
          </cell>
          <cell r="C148">
            <v>30360</v>
          </cell>
          <cell r="E148">
            <v>747975</v>
          </cell>
        </row>
        <row r="149">
          <cell r="A149" t="str">
            <v>Guinea-Bissau</v>
          </cell>
          <cell r="B149">
            <v>2201352</v>
          </cell>
          <cell r="C149">
            <v>28120</v>
          </cell>
          <cell r="E149">
            <v>1012622</v>
          </cell>
        </row>
        <row r="150">
          <cell r="A150" t="str">
            <v>Slovenia</v>
          </cell>
          <cell r="B150">
            <v>2118697</v>
          </cell>
          <cell r="C150">
            <v>20140</v>
          </cell>
          <cell r="E150">
            <v>1165283</v>
          </cell>
        </row>
        <row r="151">
          <cell r="A151" t="str">
            <v>Equatorial Guinea</v>
          </cell>
          <cell r="B151">
            <v>1892516</v>
          </cell>
          <cell r="C151">
            <v>28050</v>
          </cell>
          <cell r="E151">
            <v>1192285</v>
          </cell>
        </row>
        <row r="152">
          <cell r="A152" t="str">
            <v>Latvia</v>
          </cell>
          <cell r="B152">
            <v>1871871</v>
          </cell>
          <cell r="C152">
            <v>62200</v>
          </cell>
          <cell r="E152">
            <v>1254154</v>
          </cell>
        </row>
        <row r="153">
          <cell r="A153" t="str">
            <v>North Macedonia</v>
          </cell>
          <cell r="B153">
            <v>1823009</v>
          </cell>
          <cell r="C153">
            <v>25220</v>
          </cell>
          <cell r="E153">
            <v>1257876</v>
          </cell>
        </row>
        <row r="154">
          <cell r="A154" t="str">
            <v>Bahrain</v>
          </cell>
          <cell r="B154">
            <v>1607049</v>
          </cell>
          <cell r="C154">
            <v>760</v>
          </cell>
          <cell r="E154">
            <v>0</v>
          </cell>
        </row>
        <row r="155">
          <cell r="A155" t="str">
            <v>Trinidad and Tobago</v>
          </cell>
          <cell r="B155">
            <v>1507782</v>
          </cell>
          <cell r="C155">
            <v>5130</v>
          </cell>
          <cell r="E155">
            <v>738813</v>
          </cell>
        </row>
        <row r="156">
          <cell r="A156" t="str">
            <v>Timor-Leste</v>
          </cell>
          <cell r="B156">
            <v>1400638</v>
          </cell>
          <cell r="C156">
            <v>14870</v>
          </cell>
          <cell r="E156">
            <v>490223</v>
          </cell>
        </row>
        <row r="157">
          <cell r="A157" t="str">
            <v>Estonia</v>
          </cell>
          <cell r="B157">
            <v>1360546</v>
          </cell>
          <cell r="C157">
            <v>42390</v>
          </cell>
          <cell r="E157">
            <v>897960</v>
          </cell>
        </row>
        <row r="158">
          <cell r="A158" t="str">
            <v>Cyprus</v>
          </cell>
          <cell r="B158">
            <v>1358282</v>
          </cell>
          <cell r="C158">
            <v>9240</v>
          </cell>
          <cell r="E158">
            <v>828552</v>
          </cell>
        </row>
        <row r="159">
          <cell r="A159" t="str">
            <v>Mauritius</v>
          </cell>
          <cell r="B159">
            <v>1271169</v>
          </cell>
          <cell r="C159">
            <v>2030</v>
          </cell>
          <cell r="E159">
            <v>521179</v>
          </cell>
        </row>
        <row r="160">
          <cell r="A160" t="str">
            <v>Eswatini</v>
          </cell>
          <cell r="B160">
            <v>1242822</v>
          </cell>
          <cell r="C160">
            <v>17200</v>
          </cell>
          <cell r="E160">
            <v>385275</v>
          </cell>
        </row>
        <row r="161">
          <cell r="A161" t="str">
            <v>Djibouti</v>
          </cell>
          <cell r="B161">
            <v>1168722</v>
          </cell>
          <cell r="C161">
            <v>23180</v>
          </cell>
          <cell r="E161">
            <v>829793</v>
          </cell>
        </row>
        <row r="162">
          <cell r="A162" t="str">
            <v>Fiji</v>
          </cell>
          <cell r="B162">
            <v>928784</v>
          </cell>
          <cell r="C162">
            <v>18270</v>
          </cell>
          <cell r="E162">
            <v>557270</v>
          </cell>
        </row>
        <row r="163">
          <cell r="A163" t="str">
            <v>Réunion</v>
          </cell>
          <cell r="B163">
            <v>878591</v>
          </cell>
          <cell r="C163">
            <v>2500</v>
          </cell>
          <cell r="E163">
            <v>0</v>
          </cell>
        </row>
        <row r="164">
          <cell r="A164" t="str">
            <v>Comoros</v>
          </cell>
          <cell r="B164">
            <v>866628</v>
          </cell>
          <cell r="C164">
            <v>1861</v>
          </cell>
          <cell r="E164">
            <v>285987</v>
          </cell>
        </row>
        <row r="165">
          <cell r="A165" t="str">
            <v>Guyana</v>
          </cell>
          <cell r="B165">
            <v>831087</v>
          </cell>
          <cell r="C165">
            <v>196850</v>
          </cell>
          <cell r="E165">
            <v>224393</v>
          </cell>
        </row>
        <row r="166">
          <cell r="A166" t="str">
            <v>Solomon Islands</v>
          </cell>
          <cell r="B166">
            <v>819198</v>
          </cell>
          <cell r="C166">
            <v>27990</v>
          </cell>
          <cell r="E166">
            <v>188416</v>
          </cell>
        </row>
        <row r="167">
          <cell r="A167" t="str">
            <v>Bhutan</v>
          </cell>
          <cell r="B167">
            <v>791524</v>
          </cell>
          <cell r="C167">
            <v>38117</v>
          </cell>
          <cell r="E167">
            <v>387847</v>
          </cell>
        </row>
        <row r="168">
          <cell r="A168" t="str">
            <v>Macao</v>
          </cell>
          <cell r="B168">
            <v>720262</v>
          </cell>
          <cell r="C168">
            <v>30</v>
          </cell>
          <cell r="E168">
            <v>691452</v>
          </cell>
        </row>
        <row r="169">
          <cell r="A169" t="str">
            <v>Luxembourg</v>
          </cell>
          <cell r="B169">
            <v>673036</v>
          </cell>
          <cell r="C169">
            <v>2590</v>
          </cell>
          <cell r="E169">
            <v>585541</v>
          </cell>
        </row>
        <row r="170">
          <cell r="A170" t="str">
            <v>Montenegro</v>
          </cell>
          <cell r="B170">
            <v>638479</v>
          </cell>
          <cell r="C170">
            <v>13450</v>
          </cell>
          <cell r="E170">
            <v>434166</v>
          </cell>
        </row>
        <row r="171">
          <cell r="A171" t="str">
            <v>Suriname</v>
          </cell>
          <cell r="B171">
            <v>634431</v>
          </cell>
          <cell r="C171">
            <v>156000</v>
          </cell>
          <cell r="E171">
            <v>393347</v>
          </cell>
        </row>
        <row r="172">
          <cell r="A172" t="str">
            <v>Western Sahara</v>
          </cell>
          <cell r="B172">
            <v>590506</v>
          </cell>
          <cell r="C172">
            <v>266000</v>
          </cell>
          <cell r="E172">
            <v>572791</v>
          </cell>
        </row>
        <row r="173">
          <cell r="A173" t="str">
            <v>Malta</v>
          </cell>
          <cell r="B173">
            <v>539607</v>
          </cell>
          <cell r="C173">
            <v>320</v>
          </cell>
          <cell r="E173">
            <v>415497</v>
          </cell>
        </row>
        <row r="174">
          <cell r="A174" t="str">
            <v>Maldives</v>
          </cell>
          <cell r="B174">
            <v>527799</v>
          </cell>
          <cell r="C174">
            <v>300</v>
          </cell>
          <cell r="E174">
            <v>205842</v>
          </cell>
        </row>
        <row r="175">
          <cell r="A175" t="str">
            <v>Micronesia</v>
          </cell>
          <cell r="B175">
            <v>526923</v>
          </cell>
          <cell r="C175">
            <v>700</v>
          </cell>
          <cell r="E175">
            <v>395192</v>
          </cell>
        </row>
        <row r="176">
          <cell r="A176" t="str">
            <v>Cabo Verde</v>
          </cell>
          <cell r="B176">
            <v>524877</v>
          </cell>
          <cell r="C176">
            <v>4030</v>
          </cell>
          <cell r="E176">
            <v>409404</v>
          </cell>
        </row>
        <row r="177">
          <cell r="A177" t="str">
            <v>Brunei</v>
          </cell>
          <cell r="B177">
            <v>462721</v>
          </cell>
          <cell r="C177">
            <v>5270</v>
          </cell>
          <cell r="E177">
            <v>370177</v>
          </cell>
        </row>
        <row r="178">
          <cell r="A178" t="str">
            <v>Belize</v>
          </cell>
          <cell r="B178">
            <v>417072</v>
          </cell>
          <cell r="C178">
            <v>22810</v>
          </cell>
          <cell r="E178">
            <v>200195</v>
          </cell>
        </row>
        <row r="179">
          <cell r="A179" t="str">
            <v>Bahamas</v>
          </cell>
          <cell r="B179">
            <v>401283</v>
          </cell>
          <cell r="C179">
            <v>10010</v>
          </cell>
          <cell r="E179">
            <v>353129</v>
          </cell>
        </row>
        <row r="180">
          <cell r="A180" t="str">
            <v>Iceland</v>
          </cell>
          <cell r="B180">
            <v>393396</v>
          </cell>
          <cell r="C180">
            <v>100250</v>
          </cell>
          <cell r="E180">
            <v>330453</v>
          </cell>
        </row>
        <row r="181">
          <cell r="A181" t="str">
            <v>Guadeloupe</v>
          </cell>
          <cell r="B181">
            <v>375106</v>
          </cell>
          <cell r="C181">
            <v>1690</v>
          </cell>
          <cell r="E181">
            <v>0</v>
          </cell>
        </row>
        <row r="182">
          <cell r="A182" t="str">
            <v>Martinique</v>
          </cell>
          <cell r="B182">
            <v>343195</v>
          </cell>
          <cell r="C182">
            <v>1060</v>
          </cell>
          <cell r="E182">
            <v>0</v>
          </cell>
        </row>
        <row r="183">
          <cell r="A183" t="str">
            <v>Vanuatu</v>
          </cell>
          <cell r="B183">
            <v>327777</v>
          </cell>
          <cell r="C183">
            <v>12190</v>
          </cell>
          <cell r="E183">
            <v>81944</v>
          </cell>
        </row>
        <row r="184">
          <cell r="A184" t="str">
            <v>Mayotte</v>
          </cell>
          <cell r="B184">
            <v>326505</v>
          </cell>
          <cell r="C184">
            <v>375</v>
          </cell>
          <cell r="E184">
            <v>137132</v>
          </cell>
        </row>
        <row r="185">
          <cell r="A185" t="str">
            <v>French Guiana</v>
          </cell>
          <cell r="B185">
            <v>308522</v>
          </cell>
          <cell r="C185">
            <v>82200</v>
          </cell>
          <cell r="E185">
            <v>290011</v>
          </cell>
        </row>
        <row r="186">
          <cell r="A186" t="str">
            <v>New Caledonia</v>
          </cell>
          <cell r="B186">
            <v>292639</v>
          </cell>
          <cell r="C186">
            <v>18280</v>
          </cell>
          <cell r="E186">
            <v>219479</v>
          </cell>
        </row>
        <row r="187">
          <cell r="A187" t="str">
            <v>Barbados</v>
          </cell>
          <cell r="B187">
            <v>282467</v>
          </cell>
          <cell r="C187">
            <v>430</v>
          </cell>
          <cell r="E187">
            <v>90389</v>
          </cell>
        </row>
        <row r="188">
          <cell r="A188" t="str">
            <v>French Polynesia</v>
          </cell>
          <cell r="B188">
            <v>281807</v>
          </cell>
          <cell r="C188">
            <v>3660</v>
          </cell>
          <cell r="E188">
            <v>185993</v>
          </cell>
        </row>
        <row r="189">
          <cell r="A189" t="str">
            <v>Sao Tome &amp; Principe</v>
          </cell>
          <cell r="B189">
            <v>235536</v>
          </cell>
          <cell r="C189">
            <v>960</v>
          </cell>
          <cell r="E189">
            <v>183718</v>
          </cell>
        </row>
        <row r="190">
          <cell r="A190" t="str">
            <v>Samoa</v>
          </cell>
          <cell r="B190">
            <v>218019</v>
          </cell>
          <cell r="C190">
            <v>2830</v>
          </cell>
          <cell r="E190">
            <v>34883</v>
          </cell>
        </row>
        <row r="191">
          <cell r="A191" t="str">
            <v>Curaçao</v>
          </cell>
          <cell r="B191">
            <v>185482</v>
          </cell>
          <cell r="C191">
            <v>444</v>
          </cell>
          <cell r="E191">
            <v>148386</v>
          </cell>
        </row>
        <row r="192">
          <cell r="A192" t="str">
            <v>Saint Lucia</v>
          </cell>
          <cell r="B192">
            <v>179744</v>
          </cell>
          <cell r="C192">
            <v>610</v>
          </cell>
          <cell r="E192">
            <v>35949</v>
          </cell>
        </row>
        <row r="193">
          <cell r="A193" t="str">
            <v>Guam</v>
          </cell>
          <cell r="B193">
            <v>167777</v>
          </cell>
          <cell r="C193">
            <v>540</v>
          </cell>
          <cell r="E193">
            <v>166099</v>
          </cell>
        </row>
        <row r="194">
          <cell r="A194" t="str">
            <v>Kiribati</v>
          </cell>
          <cell r="B194">
            <v>134518</v>
          </cell>
          <cell r="C194">
            <v>810</v>
          </cell>
          <cell r="E194">
            <v>76675</v>
          </cell>
        </row>
        <row r="195">
          <cell r="A195" t="str">
            <v>Seychelles</v>
          </cell>
          <cell r="B195">
            <v>130418</v>
          </cell>
          <cell r="C195">
            <v>460</v>
          </cell>
          <cell r="E195">
            <v>57384</v>
          </cell>
        </row>
        <row r="196">
          <cell r="A196" t="str">
            <v>Grenada</v>
          </cell>
          <cell r="B196">
            <v>117207</v>
          </cell>
          <cell r="C196">
            <v>340</v>
          </cell>
          <cell r="E196">
            <v>41022</v>
          </cell>
        </row>
        <row r="197">
          <cell r="A197" t="str">
            <v>Aruba</v>
          </cell>
          <cell r="B197">
            <v>108066</v>
          </cell>
          <cell r="C197">
            <v>180</v>
          </cell>
          <cell r="E197">
            <v>47549</v>
          </cell>
        </row>
        <row r="198">
          <cell r="A198" t="str">
            <v>Tonga</v>
          </cell>
          <cell r="B198">
            <v>104175</v>
          </cell>
          <cell r="C198">
            <v>720</v>
          </cell>
          <cell r="E198">
            <v>27086</v>
          </cell>
        </row>
        <row r="199">
          <cell r="A199" t="str">
            <v>St. Vincent &amp; Grenadines</v>
          </cell>
          <cell r="B199">
            <v>100616</v>
          </cell>
          <cell r="C199">
            <v>390</v>
          </cell>
          <cell r="E199">
            <v>61376</v>
          </cell>
        </row>
        <row r="200">
          <cell r="A200" t="str">
            <v>Antigua and Barbuda</v>
          </cell>
          <cell r="B200">
            <v>93772</v>
          </cell>
          <cell r="C200">
            <v>440</v>
          </cell>
          <cell r="E200">
            <v>26256</v>
          </cell>
        </row>
        <row r="201">
          <cell r="A201" t="str">
            <v>U.S. Virgin Islands</v>
          </cell>
          <cell r="B201">
            <v>84905</v>
          </cell>
          <cell r="C201">
            <v>350</v>
          </cell>
          <cell r="E201">
            <v>0</v>
          </cell>
        </row>
        <row r="202">
          <cell r="A202" t="str">
            <v>Isle of Man</v>
          </cell>
          <cell r="B202">
            <v>84160</v>
          </cell>
          <cell r="C202">
            <v>570</v>
          </cell>
          <cell r="E202">
            <v>47130</v>
          </cell>
        </row>
        <row r="203">
          <cell r="A203" t="str">
            <v>Andorra</v>
          </cell>
          <cell r="B203">
            <v>81938</v>
          </cell>
          <cell r="C203">
            <v>470</v>
          </cell>
          <cell r="E203">
            <v>68009</v>
          </cell>
        </row>
        <row r="204">
          <cell r="A204" t="str">
            <v>Cayman Islands</v>
          </cell>
          <cell r="B204">
            <v>74457</v>
          </cell>
          <cell r="C204">
            <v>240</v>
          </cell>
          <cell r="E204">
            <v>67011</v>
          </cell>
        </row>
        <row r="205">
          <cell r="A205" t="str">
            <v>Dominica</v>
          </cell>
          <cell r="B205">
            <v>66205</v>
          </cell>
          <cell r="C205">
            <v>750</v>
          </cell>
          <cell r="E205">
            <v>54950</v>
          </cell>
        </row>
        <row r="206">
          <cell r="A206" t="str">
            <v>Bermuda</v>
          </cell>
          <cell r="B206">
            <v>64636</v>
          </cell>
          <cell r="C206">
            <v>50</v>
          </cell>
          <cell r="E206">
            <v>60111</v>
          </cell>
        </row>
        <row r="207">
          <cell r="A207" t="str">
            <v>Greenland</v>
          </cell>
          <cell r="B207">
            <v>55840</v>
          </cell>
          <cell r="C207">
            <v>410450</v>
          </cell>
          <cell r="E207">
            <v>50256</v>
          </cell>
        </row>
        <row r="208">
          <cell r="A208" t="str">
            <v>Faeroe Islands</v>
          </cell>
          <cell r="B208">
            <v>55400</v>
          </cell>
          <cell r="C208">
            <v>1396</v>
          </cell>
          <cell r="E208">
            <v>22160</v>
          </cell>
        </row>
        <row r="209">
          <cell r="A209" t="str">
            <v>Saint Kitts &amp; Nevis</v>
          </cell>
          <cell r="B209">
            <v>46843</v>
          </cell>
          <cell r="C209">
            <v>260</v>
          </cell>
          <cell r="E209">
            <v>18269</v>
          </cell>
        </row>
        <row r="210">
          <cell r="A210" t="str">
            <v>American Samoa</v>
          </cell>
          <cell r="B210">
            <v>46765</v>
          </cell>
          <cell r="C210">
            <v>200</v>
          </cell>
          <cell r="E210">
            <v>0</v>
          </cell>
        </row>
        <row r="211">
          <cell r="A211" t="str">
            <v>Turks and Caicos</v>
          </cell>
          <cell r="B211">
            <v>46535</v>
          </cell>
          <cell r="C211">
            <v>950</v>
          </cell>
          <cell r="E211">
            <v>36763</v>
          </cell>
        </row>
        <row r="212">
          <cell r="A212" t="str">
            <v>Northern Mariana Islands</v>
          </cell>
          <cell r="B212">
            <v>44278</v>
          </cell>
          <cell r="C212">
            <v>460</v>
          </cell>
          <cell r="E212">
            <v>0</v>
          </cell>
        </row>
        <row r="213">
          <cell r="A213" t="str">
            <v>Sint Maarten</v>
          </cell>
          <cell r="B213">
            <v>43350</v>
          </cell>
          <cell r="C213">
            <v>34</v>
          </cell>
          <cell r="E213">
            <v>43350</v>
          </cell>
        </row>
        <row r="214">
          <cell r="A214" t="str">
            <v>Liechtenstein</v>
          </cell>
          <cell r="B214">
            <v>39870</v>
          </cell>
          <cell r="C214">
            <v>160</v>
          </cell>
          <cell r="E214">
            <v>5980</v>
          </cell>
        </row>
        <row r="215">
          <cell r="A215" t="str">
            <v>British Virgin Islands</v>
          </cell>
          <cell r="B215">
            <v>39471</v>
          </cell>
          <cell r="C215">
            <v>150</v>
          </cell>
          <cell r="E215">
            <v>16973</v>
          </cell>
        </row>
        <row r="216">
          <cell r="A216" t="str">
            <v>Gibraltar</v>
          </cell>
          <cell r="B216">
            <v>39329</v>
          </cell>
          <cell r="C216">
            <v>10</v>
          </cell>
          <cell r="E216">
            <v>35396</v>
          </cell>
        </row>
        <row r="217">
          <cell r="A217" t="str">
            <v>Monaco</v>
          </cell>
          <cell r="B217">
            <v>38631</v>
          </cell>
          <cell r="C217">
            <v>1</v>
          </cell>
          <cell r="E217">
            <v>0</v>
          </cell>
        </row>
        <row r="218">
          <cell r="A218" t="str">
            <v>Marshall Islands</v>
          </cell>
          <cell r="B218">
            <v>37548</v>
          </cell>
          <cell r="C218">
            <v>180</v>
          </cell>
          <cell r="E218">
            <v>0</v>
          </cell>
        </row>
        <row r="219">
          <cell r="A219" t="str">
            <v>San Marino</v>
          </cell>
          <cell r="B219">
            <v>33581</v>
          </cell>
          <cell r="C219">
            <v>60</v>
          </cell>
          <cell r="E219">
            <v>33581</v>
          </cell>
        </row>
        <row r="220">
          <cell r="A220" t="str">
            <v>Caribbean Netherlands</v>
          </cell>
          <cell r="B220">
            <v>30675</v>
          </cell>
          <cell r="C220">
            <v>328</v>
          </cell>
          <cell r="E220">
            <v>20246</v>
          </cell>
        </row>
        <row r="221">
          <cell r="A221" t="str">
            <v>Saint Martin</v>
          </cell>
          <cell r="B221">
            <v>26129</v>
          </cell>
          <cell r="C221">
            <v>53</v>
          </cell>
          <cell r="E221">
            <v>0</v>
          </cell>
        </row>
        <row r="222">
          <cell r="A222" t="str">
            <v>Palau</v>
          </cell>
          <cell r="B222">
            <v>17695</v>
          </cell>
          <cell r="C222">
            <v>460</v>
          </cell>
          <cell r="E222">
            <v>0</v>
          </cell>
        </row>
        <row r="223">
          <cell r="A223" t="str">
            <v>Anguilla</v>
          </cell>
          <cell r="B223">
            <v>14598</v>
          </cell>
          <cell r="C223">
            <v>90</v>
          </cell>
          <cell r="E223">
            <v>0</v>
          </cell>
        </row>
        <row r="224">
          <cell r="A224" t="str">
            <v>Cook Islands</v>
          </cell>
          <cell r="B224">
            <v>13729</v>
          </cell>
          <cell r="C224">
            <v>240</v>
          </cell>
          <cell r="E224">
            <v>13454</v>
          </cell>
        </row>
        <row r="225">
          <cell r="A225" t="str">
            <v>Nauru</v>
          </cell>
          <cell r="B225">
            <v>11947</v>
          </cell>
          <cell r="C225">
            <v>20</v>
          </cell>
          <cell r="E225">
            <v>11350</v>
          </cell>
        </row>
        <row r="226">
          <cell r="A226" t="str">
            <v>Wallis &amp; Futuna</v>
          </cell>
          <cell r="B226">
            <v>11277</v>
          </cell>
          <cell r="C226">
            <v>140</v>
          </cell>
          <cell r="E226">
            <v>0</v>
          </cell>
        </row>
        <row r="227">
          <cell r="A227" t="str">
            <v>Saint Barthelemy</v>
          </cell>
          <cell r="B227">
            <v>11258</v>
          </cell>
          <cell r="C227">
            <v>21</v>
          </cell>
          <cell r="E227">
            <v>0</v>
          </cell>
        </row>
        <row r="228">
          <cell r="A228" t="str">
            <v>Tuvalu</v>
          </cell>
          <cell r="B228">
            <v>9646</v>
          </cell>
          <cell r="C228">
            <v>30</v>
          </cell>
          <cell r="E228">
            <v>8006</v>
          </cell>
        </row>
        <row r="229">
          <cell r="A229" t="str">
            <v>Saint Pierre &amp; Miquelon</v>
          </cell>
          <cell r="B229">
            <v>5628</v>
          </cell>
          <cell r="C229">
            <v>230</v>
          </cell>
          <cell r="E229">
            <v>0</v>
          </cell>
        </row>
        <row r="230">
          <cell r="A230" t="str">
            <v>Saint Helena</v>
          </cell>
          <cell r="B230">
            <v>5237</v>
          </cell>
          <cell r="C230">
            <v>390</v>
          </cell>
          <cell r="E230">
            <v>1728</v>
          </cell>
        </row>
        <row r="231">
          <cell r="A231" t="str">
            <v>Montserrat</v>
          </cell>
          <cell r="B231">
            <v>4389</v>
          </cell>
          <cell r="C231">
            <v>100</v>
          </cell>
          <cell r="E231">
            <v>483</v>
          </cell>
        </row>
        <row r="232">
          <cell r="A232" t="str">
            <v>Falkland Islands</v>
          </cell>
          <cell r="B232">
            <v>3470</v>
          </cell>
          <cell r="C232">
            <v>12170</v>
          </cell>
          <cell r="E232">
            <v>2360</v>
          </cell>
        </row>
        <row r="233">
          <cell r="A233" t="str">
            <v>Tokelau</v>
          </cell>
          <cell r="B233">
            <v>2506</v>
          </cell>
          <cell r="C233">
            <v>10</v>
          </cell>
          <cell r="E233">
            <v>0</v>
          </cell>
        </row>
        <row r="234">
          <cell r="A234" t="str">
            <v>Niue</v>
          </cell>
          <cell r="B234">
            <v>1819</v>
          </cell>
          <cell r="C234">
            <v>260</v>
          </cell>
          <cell r="E234">
            <v>800</v>
          </cell>
        </row>
        <row r="235">
          <cell r="A235" t="str">
            <v>Holy See</v>
          </cell>
          <cell r="B235">
            <v>496</v>
          </cell>
          <cell r="C235">
            <v>0</v>
          </cell>
          <cell r="E235">
            <v>0</v>
          </cell>
        </row>
      </sheetData>
      <sheetData sheetId="23">
        <row r="1">
          <cell r="A1" t="str">
            <v>Country or territory</v>
          </cell>
          <cell r="B1" t="str">
            <v>Total</v>
          </cell>
        </row>
        <row r="2">
          <cell r="A2" t="str">
            <v>Gibraltar (United Kingdom)</v>
          </cell>
          <cell r="B2">
            <v>48641</v>
          </cell>
        </row>
        <row r="3">
          <cell r="A3" t="str">
            <v>Guernsey (United Kingdom)</v>
          </cell>
          <cell r="B3">
            <v>86000</v>
          </cell>
        </row>
        <row r="4">
          <cell r="A4" t="str">
            <v>San Marino</v>
          </cell>
          <cell r="B4">
            <v>44200</v>
          </cell>
        </row>
        <row r="5">
          <cell r="A5" t="str">
            <v>Liechtenstein</v>
          </cell>
          <cell r="B5">
            <v>45800</v>
          </cell>
        </row>
        <row r="6">
          <cell r="A6" t="str">
            <v>Andorra</v>
          </cell>
          <cell r="B6">
            <v>81000</v>
          </cell>
        </row>
        <row r="7">
          <cell r="A7" t="str">
            <v>Monaco</v>
          </cell>
          <cell r="B7">
            <v>35500</v>
          </cell>
        </row>
        <row r="8">
          <cell r="A8" t="str">
            <v>United States</v>
          </cell>
          <cell r="B8">
            <v>305000000</v>
          </cell>
        </row>
        <row r="9">
          <cell r="A9" t="str">
            <v>Canada</v>
          </cell>
          <cell r="B9">
            <v>34000000</v>
          </cell>
        </row>
        <row r="10">
          <cell r="A10" t="str">
            <v>Israel</v>
          </cell>
          <cell r="B10">
            <v>8100000</v>
          </cell>
        </row>
        <row r="11">
          <cell r="A11" t="str">
            <v>Australia</v>
          </cell>
          <cell r="B11">
            <v>24000000</v>
          </cell>
        </row>
        <row r="12">
          <cell r="A12" t="str">
            <v>New Zealand</v>
          </cell>
          <cell r="B12">
            <v>4595212</v>
          </cell>
        </row>
        <row r="13">
          <cell r="A13" t="str">
            <v>Isle of Man (United Kingdom)</v>
          </cell>
          <cell r="B13">
            <v>68635</v>
          </cell>
        </row>
        <row r="14">
          <cell r="A14" t="str">
            <v>Japan</v>
          </cell>
          <cell r="B14">
            <v>102000000</v>
          </cell>
        </row>
        <row r="15">
          <cell r="A15" t="str">
            <v>Finland</v>
          </cell>
          <cell r="B15">
            <v>4400000</v>
          </cell>
        </row>
        <row r="16">
          <cell r="A16" t="str">
            <v>Malta</v>
          </cell>
          <cell r="B16">
            <v>419254</v>
          </cell>
        </row>
        <row r="17">
          <cell r="A17" t="str">
            <v>Cyprus</v>
          </cell>
          <cell r="B17">
            <v>1000000</v>
          </cell>
        </row>
        <row r="18">
          <cell r="A18" t="str">
            <v>Luxembourg</v>
          </cell>
          <cell r="B18">
            <v>506000</v>
          </cell>
        </row>
        <row r="19">
          <cell r="A19" t="str">
            <v>France</v>
          </cell>
          <cell r="B19">
            <v>52000000</v>
          </cell>
        </row>
        <row r="20">
          <cell r="A20" t="str">
            <v>Guam (United States)</v>
          </cell>
          <cell r="B20">
            <v>131140</v>
          </cell>
        </row>
        <row r="21">
          <cell r="A21" t="str">
            <v>Italy</v>
          </cell>
          <cell r="B21">
            <v>45500000</v>
          </cell>
        </row>
        <row r="22">
          <cell r="A22" t="str">
            <v>Estonia</v>
          </cell>
          <cell r="B22">
            <v>950000</v>
          </cell>
        </row>
        <row r="23">
          <cell r="A23" t="str">
            <v>Iceland</v>
          </cell>
          <cell r="B23">
            <v>286795</v>
          </cell>
        </row>
        <row r="24">
          <cell r="A24" t="str">
            <v>Sweden</v>
          </cell>
          <cell r="B24">
            <v>7350000</v>
          </cell>
        </row>
        <row r="25">
          <cell r="A25" t="str">
            <v>Denmark</v>
          </cell>
          <cell r="B25">
            <v>4200000</v>
          </cell>
        </row>
        <row r="26">
          <cell r="A26" t="str">
            <v>Poland</v>
          </cell>
          <cell r="B26">
            <v>24732675</v>
          </cell>
        </row>
        <row r="27">
          <cell r="A27" t="str">
            <v>Belgium</v>
          </cell>
          <cell r="B27">
            <v>8000000</v>
          </cell>
        </row>
        <row r="28">
          <cell r="A28" t="str">
            <v>Netherlands</v>
          </cell>
          <cell r="B28">
            <v>12300000</v>
          </cell>
        </row>
        <row r="29">
          <cell r="A29" t="str">
            <v>Jersey (United Kingdom)</v>
          </cell>
          <cell r="B29">
            <v>68219</v>
          </cell>
        </row>
        <row r="30">
          <cell r="A30" t="str">
            <v>Puerto Rico (United States)</v>
          </cell>
          <cell r="B30">
            <v>2130000</v>
          </cell>
        </row>
        <row r="31">
          <cell r="A31" t="str">
            <v>Slovenia</v>
          </cell>
          <cell r="B31">
            <v>1385371</v>
          </cell>
        </row>
        <row r="32">
          <cell r="A32" t="str">
            <v>Germany</v>
          </cell>
          <cell r="B32">
            <v>55200000</v>
          </cell>
        </row>
        <row r="33">
          <cell r="A33" t="str">
            <v>Bahamas</v>
          </cell>
          <cell r="B33">
            <v>260000</v>
          </cell>
        </row>
        <row r="34">
          <cell r="A34" t="str">
            <v>Czech Republic</v>
          </cell>
          <cell r="B34">
            <v>6931618</v>
          </cell>
        </row>
        <row r="35">
          <cell r="A35" t="str">
            <v>Portugal</v>
          </cell>
          <cell r="B35">
            <v>6591000</v>
          </cell>
        </row>
        <row r="36">
          <cell r="A36" t="str">
            <v>Wales (United Kingdom)</v>
          </cell>
          <cell r="B36">
            <v>2000000</v>
          </cell>
        </row>
        <row r="37">
          <cell r="A37" t="str">
            <v>Norway</v>
          </cell>
          <cell r="B37">
            <v>3416216</v>
          </cell>
        </row>
        <row r="38">
          <cell r="A38" t="str">
            <v>Spain</v>
          </cell>
          <cell r="B38">
            <v>29707581</v>
          </cell>
        </row>
        <row r="39">
          <cell r="A39" t="str">
            <v>Brunei</v>
          </cell>
          <cell r="B39">
            <v>268801</v>
          </cell>
        </row>
        <row r="40">
          <cell r="A40" t="str">
            <v>Slovakia</v>
          </cell>
          <cell r="B40">
            <v>3335000</v>
          </cell>
        </row>
        <row r="41">
          <cell r="A41" t="str">
            <v>Greece</v>
          </cell>
          <cell r="B41">
            <v>6491063</v>
          </cell>
        </row>
        <row r="42">
          <cell r="A42" t="str">
            <v>Switzerland</v>
          </cell>
          <cell r="B42">
            <v>5215771</v>
          </cell>
        </row>
        <row r="43">
          <cell r="A43" t="str">
            <v>Qatar</v>
          </cell>
          <cell r="B43">
            <v>1701346</v>
          </cell>
        </row>
        <row r="44">
          <cell r="A44" t="str">
            <v>Austria</v>
          </cell>
          <cell r="B44">
            <v>5633525</v>
          </cell>
        </row>
        <row r="45">
          <cell r="A45" t="str">
            <v>Antigua and Barbuda</v>
          </cell>
          <cell r="B45">
            <v>54891</v>
          </cell>
        </row>
        <row r="46">
          <cell r="A46" t="str">
            <v>United Kingdom</v>
          </cell>
          <cell r="B46">
            <v>38000000</v>
          </cell>
        </row>
        <row r="47">
          <cell r="A47" t="str">
            <v>Scotland (United Kingdom)</v>
          </cell>
          <cell r="B47">
            <v>3040000</v>
          </cell>
        </row>
        <row r="48">
          <cell r="A48" t="str">
            <v>Kuwait</v>
          </cell>
          <cell r="B48">
            <v>2375917</v>
          </cell>
        </row>
        <row r="49">
          <cell r="A49" t="str">
            <v>Dominica</v>
          </cell>
          <cell r="B49">
            <v>40000</v>
          </cell>
        </row>
        <row r="50">
          <cell r="A50" t="str">
            <v>Malaysia</v>
          </cell>
          <cell r="B50">
            <v>17728482</v>
          </cell>
        </row>
        <row r="51">
          <cell r="A51" t="str">
            <v>Ireland</v>
          </cell>
          <cell r="B51">
            <v>2672032</v>
          </cell>
        </row>
        <row r="52">
          <cell r="A52" t="str">
            <v>South Korea</v>
          </cell>
          <cell r="B52">
            <v>26000000</v>
          </cell>
        </row>
        <row r="53">
          <cell r="A53" t="str">
            <v>Lithuania</v>
          </cell>
          <cell r="B53">
            <v>1416467</v>
          </cell>
        </row>
        <row r="54">
          <cell r="A54" t="str">
            <v>Bulgaria</v>
          </cell>
          <cell r="B54">
            <v>3339338</v>
          </cell>
        </row>
        <row r="55">
          <cell r="A55" t="str">
            <v>Croatia</v>
          </cell>
          <cell r="B55">
            <v>1940098</v>
          </cell>
        </row>
        <row r="56">
          <cell r="A56" t="str">
            <v>Saint Kitts and Nevis</v>
          </cell>
          <cell r="B56">
            <v>25321</v>
          </cell>
        </row>
        <row r="57">
          <cell r="A57" t="str">
            <v>Hungary</v>
          </cell>
          <cell r="B57">
            <v>4515769</v>
          </cell>
        </row>
        <row r="58">
          <cell r="A58" t="str">
            <v>Nauru</v>
          </cell>
          <cell r="B58">
            <v>5000</v>
          </cell>
        </row>
        <row r="59">
          <cell r="A59" t="str">
            <v>Chile</v>
          </cell>
          <cell r="B59">
            <v>8800000</v>
          </cell>
        </row>
        <row r="60">
          <cell r="A60" t="str">
            <v>Suriname</v>
          </cell>
          <cell r="B60">
            <v>259370</v>
          </cell>
        </row>
        <row r="61">
          <cell r="A61" t="str">
            <v>Dominican Republic</v>
          </cell>
          <cell r="B61">
            <v>4800000</v>
          </cell>
        </row>
        <row r="62">
          <cell r="A62" t="str">
            <v>Romania</v>
          </cell>
          <cell r="B62">
            <v>8502571</v>
          </cell>
        </row>
        <row r="63">
          <cell r="A63" t="str">
            <v>Argentina</v>
          </cell>
          <cell r="B63">
            <v>20000000</v>
          </cell>
        </row>
        <row r="64">
          <cell r="A64" t="str">
            <v>Bahrain</v>
          </cell>
          <cell r="B64">
            <v>730000</v>
          </cell>
        </row>
        <row r="65">
          <cell r="A65" t="str">
            <v>Georgia</v>
          </cell>
          <cell r="B65">
            <v>1563165</v>
          </cell>
        </row>
        <row r="66">
          <cell r="A66" t="str">
            <v>Barbados</v>
          </cell>
          <cell r="B66">
            <v>120000</v>
          </cell>
        </row>
        <row r="67">
          <cell r="A67" t="str">
            <v>Brazil</v>
          </cell>
          <cell r="B67">
            <v>88000000</v>
          </cell>
        </row>
        <row r="68">
          <cell r="A68" t="str">
            <v>Latvia</v>
          </cell>
          <cell r="B68">
            <v>749483</v>
          </cell>
        </row>
        <row r="69">
          <cell r="A69" t="str">
            <v>Serbia</v>
          </cell>
          <cell r="B69">
            <v>2607956</v>
          </cell>
        </row>
        <row r="70">
          <cell r="A70" t="str">
            <v>Costa Rica</v>
          </cell>
          <cell r="B70">
            <v>2600000</v>
          </cell>
        </row>
        <row r="71">
          <cell r="A71" t="str">
            <v>Mexico</v>
          </cell>
          <cell r="B71">
            <v>49000000</v>
          </cell>
        </row>
        <row r="72">
          <cell r="A72" t="str">
            <v>Moldova</v>
          </cell>
          <cell r="B72">
            <v>961103</v>
          </cell>
        </row>
        <row r="73">
          <cell r="A73" t="str">
            <v>Montenegro</v>
          </cell>
          <cell r="B73">
            <v>230000</v>
          </cell>
        </row>
        <row r="74">
          <cell r="A74" t="str">
            <v>Taiwan</v>
          </cell>
          <cell r="B74">
            <v>8536705</v>
          </cell>
        </row>
        <row r="75">
          <cell r="A75" t="str">
            <v>Russia</v>
          </cell>
          <cell r="B75">
            <v>53000000</v>
          </cell>
        </row>
        <row r="76">
          <cell r="A76" t="str">
            <v>United Arab Emirates</v>
          </cell>
          <cell r="B76">
            <v>3500000</v>
          </cell>
        </row>
        <row r="77">
          <cell r="A77" t="str">
            <v>Uruguay</v>
          </cell>
          <cell r="B77">
            <v>1193904</v>
          </cell>
        </row>
        <row r="78">
          <cell r="A78" t="str">
            <v>Bosnia and Herzegovina</v>
          </cell>
          <cell r="B78">
            <v>1131821</v>
          </cell>
        </row>
        <row r="79">
          <cell r="A79" t="str">
            <v>Belarus</v>
          </cell>
          <cell r="B79">
            <v>3229935</v>
          </cell>
        </row>
        <row r="80">
          <cell r="A80" t="str">
            <v>Oman</v>
          </cell>
          <cell r="B80">
            <v>1551496</v>
          </cell>
        </row>
        <row r="81">
          <cell r="A81" t="str">
            <v>Thailand</v>
          </cell>
          <cell r="B81">
            <v>23500000</v>
          </cell>
        </row>
        <row r="82">
          <cell r="A82" t="str">
            <v>Trinidad and Tobago</v>
          </cell>
          <cell r="B82">
            <v>458712</v>
          </cell>
        </row>
        <row r="83">
          <cell r="A83" t="str">
            <v>Albania</v>
          </cell>
          <cell r="B83">
            <v>887000</v>
          </cell>
        </row>
        <row r="84">
          <cell r="A84" t="str">
            <v>Colombia</v>
          </cell>
          <cell r="B84">
            <v>15000000</v>
          </cell>
        </row>
        <row r="85">
          <cell r="A85" t="str">
            <v>Lebanon</v>
          </cell>
          <cell r="B85">
            <v>2000000</v>
          </cell>
        </row>
        <row r="86">
          <cell r="A86" t="str">
            <v>Seychelles</v>
          </cell>
          <cell r="B86">
            <v>29086</v>
          </cell>
        </row>
        <row r="87">
          <cell r="A87" t="str">
            <v>Lesotho</v>
          </cell>
          <cell r="B87">
            <v>620000</v>
          </cell>
        </row>
        <row r="88">
          <cell r="A88" t="str">
            <v>Guyana</v>
          </cell>
          <cell r="B88">
            <v>228000</v>
          </cell>
        </row>
        <row r="89">
          <cell r="A89" t="str">
            <v>Turkey</v>
          </cell>
          <cell r="B89">
            <v>24351118</v>
          </cell>
        </row>
        <row r="90">
          <cell r="A90" t="str">
            <v>Ukraine</v>
          </cell>
          <cell r="B90">
            <v>12000000</v>
          </cell>
        </row>
        <row r="91">
          <cell r="A91" t="str">
            <v>Grenada</v>
          </cell>
          <cell r="B91">
            <v>30105</v>
          </cell>
        </row>
        <row r="92">
          <cell r="A92" t="str">
            <v>Botswana</v>
          </cell>
          <cell r="B92">
            <v>599460</v>
          </cell>
        </row>
        <row r="93">
          <cell r="A93" t="str">
            <v>Maldives</v>
          </cell>
          <cell r="B93">
            <v>131000</v>
          </cell>
        </row>
        <row r="94">
          <cell r="A94" t="str">
            <v>Guatemala</v>
          </cell>
          <cell r="B94">
            <v>4000000</v>
          </cell>
        </row>
        <row r="95">
          <cell r="A95" t="str">
            <v>China</v>
          </cell>
          <cell r="B95">
            <v>329120000</v>
          </cell>
        </row>
        <row r="96">
          <cell r="A96" t="str">
            <v>Kazakhstan</v>
          </cell>
          <cell r="B96">
            <v>5085400</v>
          </cell>
        </row>
        <row r="97">
          <cell r="A97" t="str">
            <v>Honduras</v>
          </cell>
          <cell r="B97">
            <v>2200000</v>
          </cell>
        </row>
        <row r="98">
          <cell r="A98" t="str">
            <v>Belize</v>
          </cell>
          <cell r="B98">
            <v>86840</v>
          </cell>
        </row>
        <row r="99">
          <cell r="A99" t="str">
            <v>Panama</v>
          </cell>
          <cell r="B99">
            <v>939000</v>
          </cell>
        </row>
        <row r="100">
          <cell r="A100" t="str">
            <v>Mongolia</v>
          </cell>
          <cell r="B100">
            <v>723218</v>
          </cell>
        </row>
        <row r="101">
          <cell r="A101" t="str">
            <v>Saint Lucia</v>
          </cell>
          <cell r="B101">
            <v>37936</v>
          </cell>
        </row>
        <row r="102">
          <cell r="A102" t="str">
            <v>North Macedonia</v>
          </cell>
          <cell r="B102">
            <v>427000</v>
          </cell>
        </row>
        <row r="103">
          <cell r="A103" t="str">
            <v>Saint Vincent and the Grenadines</v>
          </cell>
          <cell r="B103">
            <v>22561</v>
          </cell>
        </row>
        <row r="104">
          <cell r="A104" t="str">
            <v>Kyrgyzstan</v>
          </cell>
          <cell r="B104">
            <v>1300000</v>
          </cell>
        </row>
        <row r="105">
          <cell r="A105" t="str">
            <v>South Africa</v>
          </cell>
          <cell r="B105">
            <v>11400000</v>
          </cell>
        </row>
        <row r="106">
          <cell r="A106" t="str">
            <v>Algeria</v>
          </cell>
          <cell r="B106">
            <v>8000000</v>
          </cell>
        </row>
        <row r="107">
          <cell r="A107" t="str">
            <v>Libya</v>
          </cell>
          <cell r="B107">
            <v>1280000</v>
          </cell>
        </row>
        <row r="108">
          <cell r="A108" t="str">
            <v>Iran</v>
          </cell>
          <cell r="B108">
            <v>15963000</v>
          </cell>
        </row>
        <row r="109">
          <cell r="A109" t="str">
            <v>Macao</v>
          </cell>
          <cell r="B109">
            <v>120075</v>
          </cell>
        </row>
        <row r="110">
          <cell r="A110" t="str">
            <v>Armenia</v>
          </cell>
          <cell r="B110">
            <v>524039</v>
          </cell>
        </row>
        <row r="111">
          <cell r="A111" t="str">
            <v>Tunisia</v>
          </cell>
          <cell r="B111">
            <v>2072000</v>
          </cell>
        </row>
        <row r="112">
          <cell r="A112" t="str">
            <v>Bolivia</v>
          </cell>
          <cell r="B112">
            <v>2000000</v>
          </cell>
        </row>
        <row r="113">
          <cell r="A113" t="str">
            <v>Jordan</v>
          </cell>
          <cell r="B113">
            <v>1728144</v>
          </cell>
        </row>
        <row r="114">
          <cell r="A114" t="str">
            <v>Tonga</v>
          </cell>
          <cell r="B114">
            <v>16717</v>
          </cell>
        </row>
        <row r="115">
          <cell r="A115" t="str">
            <v>Namibia</v>
          </cell>
          <cell r="B115">
            <v>418292</v>
          </cell>
        </row>
        <row r="116">
          <cell r="A116" t="str">
            <v>Sri Lanka</v>
          </cell>
          <cell r="B116">
            <v>3427150</v>
          </cell>
        </row>
        <row r="117">
          <cell r="A117" t="str">
            <v>São Tomé and Príncipe</v>
          </cell>
          <cell r="B117">
            <v>34400</v>
          </cell>
        </row>
        <row r="118">
          <cell r="A118" t="str">
            <v>Saudi Arabia</v>
          </cell>
          <cell r="B118">
            <v>5346120</v>
          </cell>
        </row>
        <row r="119">
          <cell r="A119" t="str">
            <v>Bhutan</v>
          </cell>
          <cell r="B119">
            <v>116926</v>
          </cell>
        </row>
        <row r="120">
          <cell r="A120" t="str">
            <v>Azerbaijan</v>
          </cell>
          <cell r="B120">
            <v>1473563</v>
          </cell>
        </row>
        <row r="121">
          <cell r="A121" t="str">
            <v>Singapore</v>
          </cell>
          <cell r="B121">
            <v>854475</v>
          </cell>
        </row>
        <row r="122">
          <cell r="A122" t="str">
            <v>Fiji</v>
          </cell>
          <cell r="B122">
            <v>130000</v>
          </cell>
        </row>
        <row r="123">
          <cell r="A123" t="str">
            <v>Nicaragua</v>
          </cell>
          <cell r="B123">
            <v>944380</v>
          </cell>
        </row>
        <row r="124">
          <cell r="A124" t="str">
            <v>Ecuador</v>
          </cell>
          <cell r="B124">
            <v>2535853</v>
          </cell>
        </row>
        <row r="125">
          <cell r="A125" t="str">
            <v>Venezuela</v>
          </cell>
          <cell r="B125">
            <v>4100000</v>
          </cell>
        </row>
        <row r="126">
          <cell r="A126" t="str">
            <v>Myanmar</v>
          </cell>
          <cell r="B126">
            <v>7560000</v>
          </cell>
        </row>
        <row r="127">
          <cell r="A127" t="str">
            <v>Cape Verde</v>
          </cell>
          <cell r="B127">
            <v>72455</v>
          </cell>
        </row>
        <row r="128">
          <cell r="A128" t="str">
            <v>Samoa</v>
          </cell>
          <cell r="B128">
            <v>25235</v>
          </cell>
        </row>
        <row r="129">
          <cell r="A129" t="str">
            <v>Philippines</v>
          </cell>
          <cell r="B129">
            <v>13889136</v>
          </cell>
        </row>
        <row r="130">
          <cell r="A130" t="str">
            <v>Peru</v>
          </cell>
          <cell r="B130">
            <v>3771260</v>
          </cell>
        </row>
        <row r="131">
          <cell r="A131" t="str">
            <v>Nepal</v>
          </cell>
          <cell r="B131">
            <v>3241805</v>
          </cell>
        </row>
        <row r="132">
          <cell r="A132" t="str">
            <v>Iraq</v>
          </cell>
          <cell r="B132">
            <v>4715000</v>
          </cell>
        </row>
        <row r="133">
          <cell r="A133" t="str">
            <v>Morocco</v>
          </cell>
          <cell r="B133">
            <v>4060000</v>
          </cell>
        </row>
        <row r="134">
          <cell r="A134" t="str">
            <v>Hong Kong</v>
          </cell>
          <cell r="B134">
            <v>828446</v>
          </cell>
        </row>
        <row r="135">
          <cell r="A135" t="str">
            <v>Syria</v>
          </cell>
          <cell r="B135">
            <v>2051000</v>
          </cell>
        </row>
        <row r="136">
          <cell r="A136" t="str">
            <v>Turkmenistan</v>
          </cell>
          <cell r="B136">
            <v>603621</v>
          </cell>
        </row>
        <row r="137">
          <cell r="A137" t="str">
            <v>Greenland (Denmark)</v>
          </cell>
          <cell r="B137">
            <v>5700</v>
          </cell>
        </row>
        <row r="138">
          <cell r="A138" t="str">
            <v>Micronesia</v>
          </cell>
          <cell r="B138">
            <v>11014</v>
          </cell>
        </row>
        <row r="139">
          <cell r="A139" t="str">
            <v>Kosovo</v>
          </cell>
          <cell r="B139">
            <v>309509</v>
          </cell>
        </row>
        <row r="140">
          <cell r="A140" t="str">
            <v>Uzbekistan</v>
          </cell>
          <cell r="B140">
            <v>3051734</v>
          </cell>
        </row>
        <row r="141">
          <cell r="A141" t="str">
            <v>Indonesia</v>
          </cell>
          <cell r="B141">
            <v>22500000</v>
          </cell>
        </row>
        <row r="142">
          <cell r="A142" t="str">
            <v>Jamaica</v>
          </cell>
          <cell r="B142">
            <v>237890</v>
          </cell>
        </row>
        <row r="143">
          <cell r="A143" t="str">
            <v>Gambia</v>
          </cell>
          <cell r="B143">
            <v>200000</v>
          </cell>
        </row>
        <row r="144">
          <cell r="A144" t="str">
            <v>Chad</v>
          </cell>
          <cell r="B144">
            <v>1124000</v>
          </cell>
        </row>
        <row r="145">
          <cell r="A145" t="str">
            <v>Zimbabwe</v>
          </cell>
          <cell r="B145">
            <v>1115000</v>
          </cell>
        </row>
        <row r="146">
          <cell r="A146" t="str">
            <v>Vanuatu</v>
          </cell>
          <cell r="B146">
            <v>21148</v>
          </cell>
        </row>
        <row r="147">
          <cell r="A147" t="str">
            <v>Egypt</v>
          </cell>
          <cell r="B147">
            <v>7195355</v>
          </cell>
        </row>
        <row r="148">
          <cell r="A148" t="str">
            <v>Kenya</v>
          </cell>
          <cell r="B148">
            <v>3608110</v>
          </cell>
        </row>
        <row r="149">
          <cell r="A149" t="str">
            <v>El Salvador</v>
          </cell>
          <cell r="B149">
            <v>437160</v>
          </cell>
        </row>
        <row r="150">
          <cell r="A150" t="str">
            <v>Pakistan</v>
          </cell>
          <cell r="B150">
            <v>17000000</v>
          </cell>
        </row>
        <row r="151">
          <cell r="A151" t="str">
            <v>Cuba</v>
          </cell>
          <cell r="B151">
            <v>755250</v>
          </cell>
        </row>
        <row r="152">
          <cell r="A152" t="str">
            <v>Senegal</v>
          </cell>
          <cell r="B152">
            <v>1067370</v>
          </cell>
        </row>
        <row r="153">
          <cell r="A153" t="str">
            <v>Nigeria</v>
          </cell>
          <cell r="B153">
            <v>12500000</v>
          </cell>
        </row>
        <row r="154">
          <cell r="A154" t="str">
            <v>Bangladesh</v>
          </cell>
          <cell r="B154">
            <v>10000000</v>
          </cell>
        </row>
        <row r="155">
          <cell r="A155" t="str">
            <v>Ivory Coast</v>
          </cell>
          <cell r="B155">
            <v>1554000</v>
          </cell>
        </row>
        <row r="156">
          <cell r="A156" t="str">
            <v>India</v>
          </cell>
          <cell r="B156">
            <v>76000000</v>
          </cell>
        </row>
        <row r="157">
          <cell r="A157" t="str">
            <v>Palestine</v>
          </cell>
          <cell r="B157">
            <v>276878</v>
          </cell>
        </row>
        <row r="158">
          <cell r="A158" t="str">
            <v>Vietnam</v>
          </cell>
          <cell r="B158">
            <v>5038888</v>
          </cell>
        </row>
        <row r="159">
          <cell r="A159" t="str">
            <v>Yemen</v>
          </cell>
          <cell r="B159">
            <v>1522770</v>
          </cell>
        </row>
        <row r="160">
          <cell r="A160" t="str">
            <v>Tajikistan</v>
          </cell>
          <cell r="B160">
            <v>500000</v>
          </cell>
        </row>
        <row r="161">
          <cell r="A161" t="str">
            <v>Madagascar</v>
          </cell>
          <cell r="B161">
            <v>1302000</v>
          </cell>
        </row>
        <row r="162">
          <cell r="A162" t="str">
            <v>Ghana</v>
          </cell>
          <cell r="B162">
            <v>1405000</v>
          </cell>
        </row>
        <row r="163">
          <cell r="A163" t="str">
            <v>Comoros</v>
          </cell>
          <cell r="B163">
            <v>34900</v>
          </cell>
        </row>
        <row r="164">
          <cell r="A164" t="str">
            <v>Sierra Leone</v>
          </cell>
          <cell r="B164">
            <v>300000</v>
          </cell>
        </row>
        <row r="165">
          <cell r="A165" t="str">
            <v>Djibouti</v>
          </cell>
          <cell r="B165">
            <v>40000</v>
          </cell>
        </row>
        <row r="166">
          <cell r="A166" t="str">
            <v>Angola</v>
          </cell>
          <cell r="B166">
            <v>1145000</v>
          </cell>
        </row>
        <row r="167">
          <cell r="A167" t="str">
            <v>Guinea-Bissau</v>
          </cell>
          <cell r="B167">
            <v>62240</v>
          </cell>
        </row>
        <row r="168">
          <cell r="A168" t="str">
            <v>Kiribati</v>
          </cell>
          <cell r="B168">
            <v>4048</v>
          </cell>
        </row>
        <row r="169">
          <cell r="A169" t="str">
            <v>Togo</v>
          </cell>
          <cell r="B169">
            <v>268000</v>
          </cell>
        </row>
        <row r="170">
          <cell r="A170" t="str">
            <v>Afghanistan</v>
          </cell>
          <cell r="B170">
            <v>1352000</v>
          </cell>
        </row>
        <row r="171">
          <cell r="A171" t="str">
            <v>DR Congo</v>
          </cell>
          <cell r="B171">
            <v>2791500</v>
          </cell>
        </row>
        <row r="172">
          <cell r="A172" t="str">
            <v>Zambia</v>
          </cell>
          <cell r="B172">
            <v>510000</v>
          </cell>
        </row>
        <row r="173">
          <cell r="A173" t="str">
            <v>Benin</v>
          </cell>
          <cell r="B173">
            <v>320000</v>
          </cell>
        </row>
        <row r="174">
          <cell r="A174" t="str">
            <v>Cambodia</v>
          </cell>
          <cell r="B174">
            <v>456000</v>
          </cell>
        </row>
        <row r="175">
          <cell r="A175" t="str">
            <v>Mozambique</v>
          </cell>
          <cell r="B175">
            <v>800878</v>
          </cell>
        </row>
        <row r="176">
          <cell r="A176" t="str">
            <v>Gabon</v>
          </cell>
          <cell r="B176">
            <v>56600</v>
          </cell>
        </row>
        <row r="177">
          <cell r="A177" t="str">
            <v>Burkina Faso</v>
          </cell>
          <cell r="B177">
            <v>447000</v>
          </cell>
        </row>
        <row r="178">
          <cell r="A178" t="str">
            <v>Liberia</v>
          </cell>
          <cell r="B178">
            <v>110000</v>
          </cell>
        </row>
        <row r="179">
          <cell r="A179" t="str">
            <v>Uganda</v>
          </cell>
          <cell r="B179">
            <v>920000</v>
          </cell>
        </row>
        <row r="180">
          <cell r="A180" t="str">
            <v>Eritrea</v>
          </cell>
          <cell r="B180">
            <v>72400</v>
          </cell>
        </row>
        <row r="181">
          <cell r="A181" t="str">
            <v>Guinea</v>
          </cell>
          <cell r="B181">
            <v>262618</v>
          </cell>
        </row>
        <row r="182">
          <cell r="A182" t="str">
            <v>Solomon Islands</v>
          </cell>
          <cell r="B182">
            <v>13138</v>
          </cell>
        </row>
        <row r="183">
          <cell r="A183" t="str">
            <v>Cameroon</v>
          </cell>
          <cell r="B183">
            <v>467000</v>
          </cell>
        </row>
        <row r="184">
          <cell r="A184" t="str">
            <v>Niger</v>
          </cell>
          <cell r="B184">
            <v>438601</v>
          </cell>
        </row>
        <row r="185">
          <cell r="A185" t="str">
            <v>Rwanda</v>
          </cell>
          <cell r="B185">
            <v>221000</v>
          </cell>
        </row>
        <row r="186">
          <cell r="A186" t="str">
            <v>Mauritania</v>
          </cell>
          <cell r="B186">
            <v>65000</v>
          </cell>
        </row>
        <row r="187">
          <cell r="A187" t="str">
            <v>Papua New Guinea</v>
          </cell>
          <cell r="B187">
            <v>121138</v>
          </cell>
        </row>
        <row r="188">
          <cell r="A188" t="str">
            <v>Mali</v>
          </cell>
          <cell r="B188">
            <v>257000</v>
          </cell>
        </row>
        <row r="189">
          <cell r="A189" t="str">
            <v>Malawi</v>
          </cell>
          <cell r="B189">
            <v>240000</v>
          </cell>
        </row>
        <row r="190">
          <cell r="A190" t="str">
            <v>Tanzania</v>
          </cell>
          <cell r="B190">
            <v>700000</v>
          </cell>
        </row>
        <row r="191">
          <cell r="A191" t="str">
            <v>Haiti</v>
          </cell>
          <cell r="B191">
            <v>126180</v>
          </cell>
        </row>
        <row r="192">
          <cell r="A192" t="str">
            <v>Ethiopia</v>
          </cell>
          <cell r="B192">
            <v>1200000</v>
          </cell>
        </row>
        <row r="193">
          <cell r="A193" t="str">
            <v>Burundi</v>
          </cell>
          <cell r="B193">
            <v>117000</v>
          </cell>
        </row>
        <row r="194">
          <cell r="A194" t="str">
            <v>Somalia</v>
          </cell>
          <cell r="B194">
            <v>80000</v>
          </cell>
        </row>
        <row r="195">
          <cell r="A195" t="str">
            <v>Sudan</v>
          </cell>
          <cell r="B195">
            <v>181000</v>
          </cell>
        </row>
        <row r="196">
          <cell r="A196" t="str">
            <v>Congo</v>
          </cell>
          <cell r="B196">
            <v>22540</v>
          </cell>
        </row>
        <row r="197">
          <cell r="A197" t="str">
            <v>Central African Republic</v>
          </cell>
          <cell r="B197">
            <v>19300</v>
          </cell>
        </row>
        <row r="198">
          <cell r="A198" t="str">
            <v>North Korea</v>
          </cell>
          <cell r="B198">
            <v>30000</v>
          </cell>
        </row>
      </sheetData>
      <sheetData sheetId="24">
        <row r="1">
          <cell r="A1" t="str">
            <v>Country</v>
          </cell>
          <cell r="B1" t="str">
            <v># of Households</v>
          </cell>
        </row>
        <row r="2">
          <cell r="A2" t="str">
            <v>Senegal</v>
          </cell>
          <cell r="B2">
            <v>1928689</v>
          </cell>
        </row>
        <row r="3">
          <cell r="A3" t="str">
            <v>Gambia</v>
          </cell>
          <cell r="B3">
            <v>1113542</v>
          </cell>
        </row>
        <row r="4">
          <cell r="A4" t="str">
            <v>Afghanistan</v>
          </cell>
          <cell r="B4">
            <v>4092477</v>
          </cell>
        </row>
        <row r="5">
          <cell r="A5" t="str">
            <v>Oman</v>
          </cell>
          <cell r="B5">
            <v>554430</v>
          </cell>
        </row>
        <row r="6">
          <cell r="A6" t="str">
            <v>Pakistan</v>
          </cell>
          <cell r="B6">
            <v>32462785</v>
          </cell>
        </row>
        <row r="7">
          <cell r="A7" t="str">
            <v>Yemen</v>
          </cell>
          <cell r="B7">
            <v>4469863</v>
          </cell>
        </row>
        <row r="8">
          <cell r="A8" t="str">
            <v>Samoa</v>
          </cell>
          <cell r="B8">
            <v>29995</v>
          </cell>
        </row>
        <row r="9">
          <cell r="A9" t="str">
            <v>Guinea</v>
          </cell>
          <cell r="B9">
            <v>2009276</v>
          </cell>
        </row>
        <row r="10">
          <cell r="A10" t="str">
            <v>Iraq</v>
          </cell>
          <cell r="B10">
            <v>5212262</v>
          </cell>
        </row>
        <row r="11">
          <cell r="A11" t="str">
            <v>Somalia</v>
          </cell>
        </row>
        <row r="12">
          <cell r="A12" t="str">
            <v>Tuvalu</v>
          </cell>
        </row>
        <row r="13">
          <cell r="A13" t="str">
            <v>Tajikistan</v>
          </cell>
          <cell r="B13">
            <v>1485317</v>
          </cell>
        </row>
        <row r="14">
          <cell r="A14" t="str">
            <v>South Sudan</v>
          </cell>
          <cell r="B14">
            <v>2227637</v>
          </cell>
        </row>
        <row r="15">
          <cell r="A15" t="str">
            <v>Chad</v>
          </cell>
          <cell r="B15">
            <v>2811841</v>
          </cell>
        </row>
        <row r="16">
          <cell r="A16" t="str">
            <v>Niger</v>
          </cell>
          <cell r="B16">
            <v>3920330</v>
          </cell>
        </row>
        <row r="17">
          <cell r="A17" t="str">
            <v>Burkina Faso</v>
          </cell>
          <cell r="B17">
            <v>3630745</v>
          </cell>
        </row>
        <row r="18">
          <cell r="A18" t="str">
            <v>Kiribati</v>
          </cell>
        </row>
        <row r="19">
          <cell r="A19" t="str">
            <v>Sudan</v>
          </cell>
          <cell r="B19">
            <v>7691174</v>
          </cell>
        </row>
        <row r="20">
          <cell r="A20" t="str">
            <v>Djibouti</v>
          </cell>
        </row>
        <row r="21">
          <cell r="A21" t="str">
            <v>Mali</v>
          </cell>
          <cell r="B21">
            <v>3484826</v>
          </cell>
        </row>
        <row r="22">
          <cell r="A22" t="str">
            <v>Mauritania</v>
          </cell>
        </row>
        <row r="23">
          <cell r="A23" t="str">
            <v>Syria</v>
          </cell>
        </row>
        <row r="24">
          <cell r="A24" t="str">
            <v>Central African Republic</v>
          </cell>
          <cell r="B24">
            <v>1148086</v>
          </cell>
        </row>
        <row r="25">
          <cell r="A25" t="str">
            <v>Papua New Guinea</v>
          </cell>
          <cell r="B25">
            <v>1645457</v>
          </cell>
        </row>
        <row r="26">
          <cell r="A26" t="str">
            <v>Maldives</v>
          </cell>
          <cell r="B26">
            <v>70952</v>
          </cell>
        </row>
        <row r="27">
          <cell r="A27" t="str">
            <v>Comoros</v>
          </cell>
          <cell r="B27">
            <v>141171</v>
          </cell>
        </row>
        <row r="28">
          <cell r="A28" t="str">
            <v>Equatorial Guinea</v>
          </cell>
        </row>
        <row r="29">
          <cell r="A29" t="str">
            <v>Tonga</v>
          </cell>
        </row>
        <row r="30">
          <cell r="A30" t="str">
            <v>Sierra Leone</v>
          </cell>
          <cell r="B30">
            <v>1373151</v>
          </cell>
        </row>
        <row r="31">
          <cell r="A31" t="str">
            <v>Timor Leste</v>
          </cell>
          <cell r="B31">
            <v>246665</v>
          </cell>
        </row>
        <row r="32">
          <cell r="A32" t="str">
            <v>Tokelau</v>
          </cell>
        </row>
        <row r="33">
          <cell r="A33" t="str">
            <v>Uzbekistan</v>
          </cell>
          <cell r="B33">
            <v>6586983</v>
          </cell>
        </row>
        <row r="34">
          <cell r="A34" t="str">
            <v>Turkmenistan</v>
          </cell>
        </row>
        <row r="35">
          <cell r="A35" t="str">
            <v>Benin</v>
          </cell>
          <cell r="B35">
            <v>2335719</v>
          </cell>
        </row>
        <row r="36">
          <cell r="A36" t="str">
            <v>DR Congo</v>
          </cell>
          <cell r="B36">
            <v>19225670</v>
          </cell>
        </row>
        <row r="37">
          <cell r="A37" t="str">
            <v>Vanuatu</v>
          </cell>
        </row>
        <row r="38">
          <cell r="A38" t="str">
            <v>Palestine</v>
          </cell>
        </row>
        <row r="39">
          <cell r="A39" t="str">
            <v>Zambia</v>
          </cell>
          <cell r="B39">
            <v>3485901</v>
          </cell>
        </row>
        <row r="40">
          <cell r="A40" t="str">
            <v>Cameroon</v>
          </cell>
          <cell r="B40">
            <v>4877120</v>
          </cell>
        </row>
        <row r="41">
          <cell r="A41" t="str">
            <v>Algeria</v>
          </cell>
        </row>
        <row r="42">
          <cell r="A42" t="str">
            <v>Nicaragua</v>
          </cell>
          <cell r="B42">
            <v>1326800</v>
          </cell>
        </row>
        <row r="43">
          <cell r="A43" t="str">
            <v>Uganda</v>
          </cell>
          <cell r="B43">
            <v>9170821</v>
          </cell>
        </row>
        <row r="44">
          <cell r="A44" t="str">
            <v>Tanzania</v>
          </cell>
          <cell r="B44">
            <v>11880255</v>
          </cell>
        </row>
        <row r="45">
          <cell r="A45" t="str">
            <v>Burundi</v>
          </cell>
          <cell r="B45">
            <v>2548469</v>
          </cell>
        </row>
        <row r="46">
          <cell r="A46" t="str">
            <v>Angola</v>
          </cell>
          <cell r="B46">
            <v>6463847</v>
          </cell>
        </row>
        <row r="47">
          <cell r="A47" t="str">
            <v>Guatemala</v>
          </cell>
          <cell r="B47">
            <v>3507977</v>
          </cell>
        </row>
        <row r="48">
          <cell r="A48" t="str">
            <v>Ethiopia</v>
          </cell>
          <cell r="B48">
            <v>21850103</v>
          </cell>
        </row>
        <row r="49">
          <cell r="A49" t="str">
            <v>Jordan</v>
          </cell>
          <cell r="B49">
            <v>2291955</v>
          </cell>
        </row>
        <row r="50">
          <cell r="A50" t="str">
            <v>Laos</v>
          </cell>
          <cell r="B50">
            <v>1254263</v>
          </cell>
        </row>
        <row r="51">
          <cell r="A51" t="str">
            <v>Qatar</v>
          </cell>
        </row>
        <row r="52">
          <cell r="A52" t="str">
            <v>Nigeria</v>
          </cell>
          <cell r="B52">
            <v>42057041</v>
          </cell>
        </row>
        <row r="53">
          <cell r="A53" t="str">
            <v>Cambodia</v>
          </cell>
          <cell r="B53">
            <v>3315050</v>
          </cell>
        </row>
        <row r="54">
          <cell r="A54" t="str">
            <v>Morocco</v>
          </cell>
          <cell r="B54">
            <v>6890065</v>
          </cell>
        </row>
        <row r="55">
          <cell r="A55" t="str">
            <v>Ivory Coast</v>
          </cell>
          <cell r="B55">
            <v>5197095</v>
          </cell>
        </row>
        <row r="56">
          <cell r="A56" t="str">
            <v>Liberia</v>
          </cell>
          <cell r="B56">
            <v>923685</v>
          </cell>
        </row>
        <row r="57">
          <cell r="A57" t="str">
            <v>Fiji</v>
          </cell>
          <cell r="B57">
            <v>194497</v>
          </cell>
        </row>
        <row r="58">
          <cell r="A58" t="str">
            <v>Malaysia</v>
          </cell>
          <cell r="B58">
            <v>7176812</v>
          </cell>
        </row>
        <row r="59">
          <cell r="A59" t="str">
            <v>Azerbaijan</v>
          </cell>
          <cell r="B59">
            <v>2217398</v>
          </cell>
        </row>
        <row r="60">
          <cell r="A60" t="str">
            <v>Mozambique</v>
          </cell>
          <cell r="B60">
            <v>6885971</v>
          </cell>
        </row>
        <row r="61">
          <cell r="A61" t="str">
            <v>Madagascar</v>
          </cell>
          <cell r="B61">
            <v>5304084</v>
          </cell>
        </row>
        <row r="62">
          <cell r="A62" t="str">
            <v>India</v>
          </cell>
          <cell r="B62">
            <v>299727860</v>
          </cell>
        </row>
        <row r="63">
          <cell r="A63" t="str">
            <v>Togo</v>
          </cell>
          <cell r="B63">
            <v>1693139</v>
          </cell>
        </row>
        <row r="64">
          <cell r="A64" t="str">
            <v>Venezuela</v>
          </cell>
          <cell r="B64">
            <v>6565128</v>
          </cell>
        </row>
        <row r="65">
          <cell r="A65" t="str">
            <v>Haiti</v>
          </cell>
          <cell r="B65">
            <v>2735164</v>
          </cell>
        </row>
        <row r="66">
          <cell r="A66" t="str">
            <v>Malawi</v>
          </cell>
          <cell r="B66">
            <v>4091853</v>
          </cell>
        </row>
        <row r="67">
          <cell r="A67" t="str">
            <v>Rwanda</v>
          </cell>
          <cell r="B67">
            <v>2973056</v>
          </cell>
        </row>
        <row r="68">
          <cell r="A68" t="str">
            <v>Bangladesh</v>
          </cell>
          <cell r="B68">
            <v>37957746</v>
          </cell>
        </row>
        <row r="69">
          <cell r="A69" t="str">
            <v>Nepal</v>
          </cell>
          <cell r="B69">
            <v>7075702</v>
          </cell>
        </row>
        <row r="70">
          <cell r="A70" t="str">
            <v>Namibia</v>
          </cell>
          <cell r="B70">
            <v>590931</v>
          </cell>
        </row>
        <row r="71">
          <cell r="A71" t="str">
            <v>Philippines</v>
          </cell>
          <cell r="B71">
            <v>25893157</v>
          </cell>
        </row>
        <row r="72">
          <cell r="A72" t="str">
            <v>Myanmar</v>
          </cell>
          <cell r="B72">
            <v>12978359</v>
          </cell>
        </row>
        <row r="73">
          <cell r="A73" t="str">
            <v>Republic of the Congo</v>
          </cell>
          <cell r="B73">
            <v>1281072</v>
          </cell>
        </row>
        <row r="74">
          <cell r="A74" t="str">
            <v>Egypt</v>
          </cell>
          <cell r="B74">
            <v>24496076</v>
          </cell>
        </row>
        <row r="75">
          <cell r="A75" t="str">
            <v>Gabon</v>
          </cell>
          <cell r="B75">
            <v>283790</v>
          </cell>
        </row>
        <row r="76">
          <cell r="A76" t="str">
            <v>Turkey</v>
          </cell>
          <cell r="B76">
            <v>38400610</v>
          </cell>
        </row>
        <row r="77">
          <cell r="A77" t="str">
            <v>Sao Tome and Principe</v>
          </cell>
        </row>
        <row r="78">
          <cell r="A78" t="str">
            <v>Kyrgyzstan</v>
          </cell>
          <cell r="B78">
            <v>1565200</v>
          </cell>
        </row>
        <row r="79">
          <cell r="A79" t="str">
            <v>Mayotte</v>
          </cell>
        </row>
        <row r="80">
          <cell r="A80" t="str">
            <v>Eswatini</v>
          </cell>
          <cell r="B80">
            <v>239860</v>
          </cell>
        </row>
        <row r="81">
          <cell r="A81" t="str">
            <v>Zimbabwe</v>
          </cell>
          <cell r="B81">
            <v>3795226</v>
          </cell>
        </row>
        <row r="82">
          <cell r="A82" t="str">
            <v>North Korea</v>
          </cell>
          <cell r="B82">
            <v>6502416</v>
          </cell>
        </row>
        <row r="83">
          <cell r="A83" t="str">
            <v>El Salvador</v>
          </cell>
          <cell r="B83">
            <v>1662356</v>
          </cell>
        </row>
        <row r="84">
          <cell r="A84" t="str">
            <v>Tunisia</v>
          </cell>
        </row>
        <row r="85">
          <cell r="A85" t="str">
            <v>Honduras</v>
          </cell>
          <cell r="B85">
            <v>2082686</v>
          </cell>
        </row>
        <row r="86">
          <cell r="A86" t="str">
            <v>Paraguay</v>
          </cell>
          <cell r="B86">
            <v>1565626</v>
          </cell>
        </row>
        <row r="87">
          <cell r="A87" t="str">
            <v>Indonesia</v>
          </cell>
          <cell r="B87">
            <v>69855344</v>
          </cell>
        </row>
        <row r="88">
          <cell r="A88" t="str">
            <v>Suriname</v>
          </cell>
          <cell r="B88">
            <v>149741</v>
          </cell>
        </row>
        <row r="89">
          <cell r="A89" t="str">
            <v>Ghana</v>
          </cell>
          <cell r="B89">
            <v>8862356</v>
          </cell>
        </row>
        <row r="90">
          <cell r="A90" t="str">
            <v>Ecuador</v>
          </cell>
          <cell r="B90">
            <v>4659382</v>
          </cell>
        </row>
        <row r="91">
          <cell r="A91" t="str">
            <v>Mexico</v>
          </cell>
          <cell r="B91">
            <v>34167462</v>
          </cell>
        </row>
        <row r="92">
          <cell r="A92" t="str">
            <v>Kenya</v>
          </cell>
          <cell r="B92">
            <v>13071338</v>
          </cell>
        </row>
        <row r="93">
          <cell r="A93" t="str">
            <v>Belize</v>
          </cell>
        </row>
        <row r="94">
          <cell r="A94" t="str">
            <v>Lesotho</v>
          </cell>
          <cell r="B94">
            <v>600072</v>
          </cell>
        </row>
        <row r="95">
          <cell r="A95" t="str">
            <v>Panama</v>
          </cell>
          <cell r="B95">
            <v>1165778</v>
          </cell>
        </row>
        <row r="96">
          <cell r="A96" t="str">
            <v>Mongolia</v>
          </cell>
          <cell r="B96">
            <v>774771</v>
          </cell>
        </row>
        <row r="97">
          <cell r="A97" t="str">
            <v>Armenia</v>
          </cell>
          <cell r="B97">
            <v>837896</v>
          </cell>
        </row>
        <row r="98">
          <cell r="A98" t="str">
            <v>Colombia</v>
          </cell>
          <cell r="B98">
            <v>14282545</v>
          </cell>
        </row>
        <row r="99">
          <cell r="A99" t="str">
            <v>Bolivia</v>
          </cell>
          <cell r="B99">
            <v>3295144</v>
          </cell>
        </row>
        <row r="100">
          <cell r="A100" t="str">
            <v>Botswana</v>
          </cell>
          <cell r="B100">
            <v>673860</v>
          </cell>
        </row>
        <row r="101">
          <cell r="A101" t="str">
            <v>Bosnia and Herzegovina</v>
          </cell>
        </row>
        <row r="102">
          <cell r="A102" t="str">
            <v>Guyana</v>
          </cell>
          <cell r="B102">
            <v>196290</v>
          </cell>
        </row>
        <row r="103">
          <cell r="A103" t="str">
            <v>Mauritius</v>
          </cell>
          <cell r="B103">
            <v>364285</v>
          </cell>
        </row>
        <row r="104">
          <cell r="A104" t="str">
            <v>Peru</v>
          </cell>
          <cell r="B104">
            <v>8695193</v>
          </cell>
        </row>
        <row r="105">
          <cell r="A105" t="str">
            <v>North Macedonia</v>
          </cell>
        </row>
        <row r="106">
          <cell r="A106" t="str">
            <v>French Guiana</v>
          </cell>
        </row>
        <row r="107">
          <cell r="A107" t="str">
            <v>Vietnam</v>
          </cell>
          <cell r="B107">
            <v>25503951</v>
          </cell>
        </row>
        <row r="108">
          <cell r="A108" t="str">
            <v>Kazakhstan</v>
          </cell>
          <cell r="B108">
            <v>5381052</v>
          </cell>
        </row>
        <row r="109">
          <cell r="A109" t="str">
            <v>Iran</v>
          </cell>
          <cell r="B109">
            <v>24056109</v>
          </cell>
        </row>
        <row r="110">
          <cell r="A110" t="str">
            <v>Georgia</v>
          </cell>
          <cell r="B110">
            <v>1113542</v>
          </cell>
        </row>
        <row r="111">
          <cell r="A111" t="str">
            <v>Bahamas</v>
          </cell>
          <cell r="B111">
            <v>114679</v>
          </cell>
        </row>
        <row r="112">
          <cell r="A112" t="str">
            <v>South Africa</v>
          </cell>
          <cell r="B112">
            <v>17733119</v>
          </cell>
        </row>
        <row r="113">
          <cell r="A113" t="str">
            <v>Brazil</v>
          </cell>
          <cell r="B113">
            <v>64124398</v>
          </cell>
        </row>
        <row r="114">
          <cell r="A114" t="str">
            <v>Albania</v>
          </cell>
          <cell r="B114">
            <v>862512</v>
          </cell>
        </row>
        <row r="115">
          <cell r="A115" t="str">
            <v>Montenegro</v>
          </cell>
          <cell r="B115">
            <v>193488</v>
          </cell>
        </row>
        <row r="116">
          <cell r="A116" t="str">
            <v>Costa Rica</v>
          </cell>
          <cell r="B116">
            <v>1476628</v>
          </cell>
        </row>
        <row r="117">
          <cell r="A117" t="str">
            <v>Trinidad and Tobago</v>
          </cell>
          <cell r="B117">
            <v>415308</v>
          </cell>
        </row>
        <row r="118">
          <cell r="A118" t="str">
            <v>Jamaica</v>
          </cell>
          <cell r="B118">
            <v>893225</v>
          </cell>
        </row>
        <row r="119">
          <cell r="A119" t="str">
            <v>Israel</v>
          </cell>
          <cell r="B119">
            <v>2953648</v>
          </cell>
        </row>
        <row r="120">
          <cell r="A120" t="str">
            <v>Dominican Republic</v>
          </cell>
          <cell r="B120">
            <v>3004226</v>
          </cell>
        </row>
        <row r="121">
          <cell r="A121" t="str">
            <v>Macau</v>
          </cell>
          <cell r="B121">
            <v>227031</v>
          </cell>
        </row>
        <row r="122">
          <cell r="A122" t="str">
            <v>Chile</v>
          </cell>
          <cell r="B122">
            <v>5440715</v>
          </cell>
        </row>
        <row r="123">
          <cell r="A123" t="str">
            <v>Uruguay</v>
          </cell>
          <cell r="B123">
            <v>1269537</v>
          </cell>
        </row>
        <row r="124">
          <cell r="A124" t="str">
            <v>Argentina</v>
          </cell>
          <cell r="B124">
            <v>13925275</v>
          </cell>
        </row>
        <row r="125">
          <cell r="A125" t="str">
            <v>Singapore</v>
          </cell>
          <cell r="B125">
            <v>1727455</v>
          </cell>
        </row>
        <row r="126">
          <cell r="A126" t="str">
            <v>Moldova</v>
          </cell>
          <cell r="B126">
            <v>914026</v>
          </cell>
        </row>
        <row r="127">
          <cell r="A127" t="str">
            <v>Saint Lucia</v>
          </cell>
        </row>
        <row r="128">
          <cell r="A128" t="str">
            <v>Aruba</v>
          </cell>
          <cell r="B128">
            <v>38855</v>
          </cell>
        </row>
        <row r="129">
          <cell r="A129" t="str">
            <v>Romania</v>
          </cell>
          <cell r="B129">
            <v>6709224</v>
          </cell>
        </row>
        <row r="130">
          <cell r="A130" t="str">
            <v>Serbia</v>
          </cell>
          <cell r="B130">
            <v>2405804</v>
          </cell>
        </row>
        <row r="131">
          <cell r="A131" t="str">
            <v>Malta</v>
          </cell>
          <cell r="B131">
            <v>180375</v>
          </cell>
        </row>
        <row r="132">
          <cell r="A132" t="str">
            <v>Barbados</v>
          </cell>
        </row>
        <row r="133">
          <cell r="A133" t="str">
            <v>Thailand</v>
          </cell>
          <cell r="B133">
            <v>18042640</v>
          </cell>
        </row>
        <row r="134">
          <cell r="A134" t="str">
            <v>Hong Kong</v>
          </cell>
          <cell r="B134">
            <v>2646107</v>
          </cell>
        </row>
        <row r="135">
          <cell r="A135" t="str">
            <v>Ireland</v>
          </cell>
          <cell r="B135">
            <v>1799221</v>
          </cell>
        </row>
        <row r="136">
          <cell r="A136" t="str">
            <v>Poland</v>
          </cell>
          <cell r="B136">
            <v>13666831</v>
          </cell>
        </row>
        <row r="137">
          <cell r="A137" t="str">
            <v>Slovakia</v>
          </cell>
          <cell r="B137">
            <v>1948989</v>
          </cell>
        </row>
        <row r="138">
          <cell r="A138" t="str">
            <v>Croatia</v>
          </cell>
          <cell r="B138">
            <v>1451732</v>
          </cell>
        </row>
        <row r="139">
          <cell r="A139" t="str">
            <v>Cyprus</v>
          </cell>
          <cell r="B139">
            <v>318823</v>
          </cell>
        </row>
        <row r="140">
          <cell r="A140" t="str">
            <v>Cuba</v>
          </cell>
          <cell r="B140">
            <v>3568550</v>
          </cell>
        </row>
        <row r="141">
          <cell r="A141" t="str">
            <v>China</v>
          </cell>
          <cell r="B141">
            <v>522689264</v>
          </cell>
        </row>
        <row r="142">
          <cell r="A142" t="str">
            <v>Spain</v>
          </cell>
          <cell r="B142">
            <v>17565288</v>
          </cell>
        </row>
        <row r="143">
          <cell r="A143" t="str">
            <v>New Zealand</v>
          </cell>
          <cell r="B143">
            <v>1906474</v>
          </cell>
        </row>
        <row r="144">
          <cell r="A144" t="str">
            <v>Puerto Rico</v>
          </cell>
          <cell r="B144">
            <v>1195915</v>
          </cell>
        </row>
        <row r="145">
          <cell r="A145" t="str">
            <v>Portugal</v>
          </cell>
          <cell r="B145">
            <v>3876822</v>
          </cell>
        </row>
        <row r="146">
          <cell r="A146" t="str">
            <v>Reunion</v>
          </cell>
        </row>
        <row r="147">
          <cell r="A147" t="str">
            <v>Hungary</v>
          </cell>
          <cell r="B147">
            <v>3753000</v>
          </cell>
        </row>
        <row r="148">
          <cell r="A148" t="str">
            <v>Russia</v>
          </cell>
          <cell r="B148">
            <v>56771478</v>
          </cell>
        </row>
        <row r="149">
          <cell r="A149" t="str">
            <v>Sint Maarten</v>
          </cell>
        </row>
        <row r="150">
          <cell r="A150" t="str">
            <v>Saint Martin</v>
          </cell>
        </row>
        <row r="151">
          <cell r="A151" t="str">
            <v>Ukraine</v>
          </cell>
          <cell r="B151">
            <v>16972715</v>
          </cell>
        </row>
        <row r="152">
          <cell r="A152" t="str">
            <v>Australia</v>
          </cell>
          <cell r="B152">
            <v>10220186</v>
          </cell>
        </row>
        <row r="153">
          <cell r="A153" t="str">
            <v>United States</v>
          </cell>
          <cell r="B153">
            <v>132736055</v>
          </cell>
        </row>
        <row r="154">
          <cell r="A154" t="str">
            <v>Slovenia</v>
          </cell>
          <cell r="B154">
            <v>851149</v>
          </cell>
        </row>
        <row r="155">
          <cell r="A155" t="str">
            <v>Bermuda</v>
          </cell>
          <cell r="B155">
            <v>28314</v>
          </cell>
        </row>
        <row r="156">
          <cell r="A156" t="str">
            <v>Canada</v>
          </cell>
          <cell r="B156">
            <v>15618491</v>
          </cell>
        </row>
        <row r="157">
          <cell r="A157" t="str">
            <v>Greece</v>
          </cell>
          <cell r="B157">
            <v>4394506</v>
          </cell>
        </row>
        <row r="158">
          <cell r="A158" t="str">
            <v>Luxembourg</v>
          </cell>
          <cell r="B158">
            <v>259519</v>
          </cell>
        </row>
        <row r="159">
          <cell r="A159" t="str">
            <v>Italy</v>
          </cell>
          <cell r="B159">
            <v>25020120</v>
          </cell>
        </row>
        <row r="160">
          <cell r="A160" t="str">
            <v>Czech Republic</v>
          </cell>
          <cell r="B160">
            <v>4465680</v>
          </cell>
        </row>
        <row r="161">
          <cell r="A161" t="str">
            <v>Turks and Caicos Islands</v>
          </cell>
        </row>
        <row r="162">
          <cell r="A162" t="str">
            <v>Belgium</v>
          </cell>
          <cell r="B162">
            <v>4883743</v>
          </cell>
        </row>
        <row r="163">
          <cell r="A163" t="str">
            <v>South Korea</v>
          </cell>
          <cell r="B163">
            <v>23650555</v>
          </cell>
        </row>
        <row r="164">
          <cell r="A164" t="str">
            <v>Belarus</v>
          </cell>
          <cell r="B164">
            <v>3789941</v>
          </cell>
        </row>
        <row r="165">
          <cell r="A165" t="str">
            <v>Bulgaria</v>
          </cell>
          <cell r="B165">
            <v>2973737</v>
          </cell>
        </row>
        <row r="166">
          <cell r="A166" t="str">
            <v>Japan</v>
          </cell>
          <cell r="B166">
            <v>55704949</v>
          </cell>
        </row>
        <row r="167">
          <cell r="A167" t="str">
            <v>Lithuania</v>
          </cell>
          <cell r="B167">
            <v>1204383</v>
          </cell>
        </row>
        <row r="168">
          <cell r="A168" t="str">
            <v>Netherlands</v>
          </cell>
          <cell r="B168">
            <v>7874258</v>
          </cell>
        </row>
        <row r="169">
          <cell r="A169" t="str">
            <v>Estonia</v>
          </cell>
          <cell r="B169">
            <v>578440</v>
          </cell>
        </row>
        <row r="170">
          <cell r="A170" t="str">
            <v>Guadeloupe</v>
          </cell>
          <cell r="B170">
            <v>172304</v>
          </cell>
        </row>
        <row r="171">
          <cell r="A171" t="str">
            <v>Isle of Man</v>
          </cell>
          <cell r="B171">
            <v>36478</v>
          </cell>
        </row>
        <row r="172">
          <cell r="A172" t="str">
            <v>United Kingdom</v>
          </cell>
          <cell r="B172">
            <v>29486179</v>
          </cell>
        </row>
        <row r="173">
          <cell r="A173" t="str">
            <v>Austria</v>
          </cell>
          <cell r="B173">
            <v>3933516</v>
          </cell>
        </row>
        <row r="174">
          <cell r="A174" t="str">
            <v>Latvia</v>
          </cell>
          <cell r="B174">
            <v>736370</v>
          </cell>
        </row>
        <row r="175">
          <cell r="A175" t="str">
            <v>Liechtenstein</v>
          </cell>
          <cell r="B175">
            <v>16700</v>
          </cell>
        </row>
        <row r="176">
          <cell r="A176" t="str">
            <v>Saint Pierre and Miquelon</v>
          </cell>
        </row>
        <row r="177">
          <cell r="A177" t="str">
            <v>Martinique</v>
          </cell>
        </row>
        <row r="178">
          <cell r="A178" t="str">
            <v>France</v>
          </cell>
          <cell r="B178">
            <v>30217950</v>
          </cell>
        </row>
        <row r="179">
          <cell r="A179" t="str">
            <v>Norway</v>
          </cell>
          <cell r="B179">
            <v>2426071</v>
          </cell>
        </row>
        <row r="180">
          <cell r="A180" t="str">
            <v>Switzerland</v>
          </cell>
          <cell r="B180">
            <v>3901112</v>
          </cell>
        </row>
        <row r="181">
          <cell r="A181" t="str">
            <v>Sweden</v>
          </cell>
          <cell r="B181">
            <v>4776239</v>
          </cell>
        </row>
        <row r="182">
          <cell r="A182" t="str">
            <v>Monaco</v>
          </cell>
        </row>
        <row r="183">
          <cell r="A183" t="str">
            <v>Finland</v>
          </cell>
          <cell r="B183">
            <v>2652262</v>
          </cell>
        </row>
        <row r="184">
          <cell r="A184" t="str">
            <v>Germany</v>
          </cell>
          <cell r="B184">
            <v>40624971</v>
          </cell>
        </row>
        <row r="185">
          <cell r="A185" t="str">
            <v>Bhutan</v>
          </cell>
        </row>
        <row r="186">
          <cell r="A186" t="str">
            <v>Brunei</v>
          </cell>
        </row>
        <row r="187">
          <cell r="A187" t="str">
            <v>French Polynesia</v>
          </cell>
        </row>
        <row r="188">
          <cell r="A188" t="str">
            <v>New Caledonia</v>
          </cell>
        </row>
        <row r="189">
          <cell r="A189" t="str">
            <v>Seychelles</v>
          </cell>
        </row>
        <row r="190">
          <cell r="A190" t="str">
            <v>Cayman Islands</v>
          </cell>
        </row>
        <row r="191">
          <cell r="A191" t="str">
            <v>Palau</v>
          </cell>
        </row>
        <row r="192">
          <cell r="A192" t="str">
            <v>Cook Islands</v>
          </cell>
        </row>
      </sheetData>
      <sheetData sheetId="25">
        <row r="1">
          <cell r="A1" t="str">
            <v>Country</v>
          </cell>
          <cell r="B1" t="str">
            <v>CO2 Emissions (tons, 2022)</v>
          </cell>
        </row>
        <row r="2">
          <cell r="A2" t="str">
            <v>China</v>
          </cell>
          <cell r="B2">
            <v>12667428430</v>
          </cell>
        </row>
        <row r="3">
          <cell r="A3" t="str">
            <v>United States</v>
          </cell>
          <cell r="B3">
            <v>4853780240</v>
          </cell>
        </row>
        <row r="4">
          <cell r="A4" t="str">
            <v>India</v>
          </cell>
          <cell r="B4">
            <v>2693034100</v>
          </cell>
        </row>
        <row r="5">
          <cell r="A5" t="str">
            <v>Russia</v>
          </cell>
          <cell r="B5">
            <v>1909039310</v>
          </cell>
        </row>
        <row r="6">
          <cell r="A6" t="str">
            <v>Japan</v>
          </cell>
          <cell r="B6">
            <v>1082645430</v>
          </cell>
        </row>
        <row r="7">
          <cell r="A7" t="str">
            <v>Indonesia</v>
          </cell>
          <cell r="B7">
            <v>692236110</v>
          </cell>
        </row>
        <row r="8">
          <cell r="A8" t="str">
            <v>Iran</v>
          </cell>
          <cell r="B8">
            <v>686415730</v>
          </cell>
        </row>
        <row r="9">
          <cell r="A9" t="str">
            <v>Germany</v>
          </cell>
          <cell r="B9">
            <v>673595260</v>
          </cell>
        </row>
        <row r="10">
          <cell r="A10" t="str">
            <v>South Korea</v>
          </cell>
          <cell r="B10">
            <v>635502970</v>
          </cell>
        </row>
        <row r="11">
          <cell r="A11" t="str">
            <v>Saudi Arabia</v>
          </cell>
          <cell r="B11">
            <v>607907500</v>
          </cell>
        </row>
        <row r="12">
          <cell r="A12" t="str">
            <v>Canada</v>
          </cell>
          <cell r="B12">
            <v>582072950</v>
          </cell>
        </row>
        <row r="13">
          <cell r="A13" t="str">
            <v>Mexico</v>
          </cell>
          <cell r="B13">
            <v>487774010</v>
          </cell>
        </row>
        <row r="14">
          <cell r="A14" t="str">
            <v>Turkey</v>
          </cell>
          <cell r="B14">
            <v>481247520</v>
          </cell>
        </row>
        <row r="15">
          <cell r="A15" t="str">
            <v>Brazil</v>
          </cell>
          <cell r="B15">
            <v>466770410</v>
          </cell>
        </row>
        <row r="16">
          <cell r="A16" t="str">
            <v>South Africa</v>
          </cell>
          <cell r="B16">
            <v>404974510</v>
          </cell>
        </row>
        <row r="17">
          <cell r="A17" t="str">
            <v>Australia</v>
          </cell>
          <cell r="B17">
            <v>393162550</v>
          </cell>
        </row>
        <row r="18">
          <cell r="A18" t="str">
            <v>United Kingdom</v>
          </cell>
          <cell r="B18">
            <v>340610260</v>
          </cell>
        </row>
        <row r="19">
          <cell r="A19" t="str">
            <v>Vietnam</v>
          </cell>
          <cell r="B19">
            <v>327905620</v>
          </cell>
        </row>
        <row r="20">
          <cell r="A20" t="str">
            <v>Italy</v>
          </cell>
          <cell r="B20">
            <v>322948740</v>
          </cell>
        </row>
        <row r="21">
          <cell r="A21" t="str">
            <v>Poland</v>
          </cell>
          <cell r="B21">
            <v>321954000</v>
          </cell>
        </row>
        <row r="22">
          <cell r="A22" t="str">
            <v>France</v>
          </cell>
          <cell r="B22">
            <v>315299470</v>
          </cell>
        </row>
        <row r="23">
          <cell r="A23" t="str">
            <v>Thailand</v>
          </cell>
          <cell r="B23">
            <v>282445820</v>
          </cell>
        </row>
        <row r="24">
          <cell r="A24" t="str">
            <v>Malaysia</v>
          </cell>
          <cell r="B24">
            <v>277531770</v>
          </cell>
        </row>
        <row r="25">
          <cell r="A25" t="str">
            <v>Taiwan</v>
          </cell>
          <cell r="B25">
            <v>275573980</v>
          </cell>
        </row>
        <row r="26">
          <cell r="A26" t="str">
            <v>Egypt</v>
          </cell>
          <cell r="B26">
            <v>265961280</v>
          </cell>
        </row>
        <row r="27">
          <cell r="A27" t="str">
            <v>Spain</v>
          </cell>
          <cell r="B27">
            <v>254363430</v>
          </cell>
        </row>
        <row r="28">
          <cell r="A28" t="str">
            <v>Kazakhstan</v>
          </cell>
          <cell r="B28">
            <v>245886290</v>
          </cell>
        </row>
        <row r="29">
          <cell r="A29" t="str">
            <v>United Arab Emirates</v>
          </cell>
          <cell r="B29">
            <v>218799350</v>
          </cell>
        </row>
        <row r="30">
          <cell r="A30" t="str">
            <v>Pakistan</v>
          </cell>
          <cell r="B30">
            <v>199329850</v>
          </cell>
        </row>
        <row r="31">
          <cell r="A31" t="str">
            <v>Iraq</v>
          </cell>
          <cell r="B31">
            <v>193836310</v>
          </cell>
        </row>
        <row r="32">
          <cell r="A32" t="str">
            <v>Argentina</v>
          </cell>
          <cell r="B32">
            <v>184037200</v>
          </cell>
        </row>
        <row r="33">
          <cell r="A33" t="str">
            <v>Algeria</v>
          </cell>
          <cell r="B33">
            <v>177079430</v>
          </cell>
        </row>
        <row r="34">
          <cell r="A34" t="str">
            <v>Philippines</v>
          </cell>
          <cell r="B34">
            <v>155380930</v>
          </cell>
        </row>
        <row r="35">
          <cell r="A35" t="str">
            <v>Netherlands</v>
          </cell>
          <cell r="B35">
            <v>134663630</v>
          </cell>
        </row>
        <row r="36">
          <cell r="A36" t="str">
            <v>Ukraine</v>
          </cell>
          <cell r="B36">
            <v>132541470</v>
          </cell>
        </row>
        <row r="37">
          <cell r="A37" t="str">
            <v>Uzbekistan</v>
          </cell>
          <cell r="B37">
            <v>132433520</v>
          </cell>
        </row>
        <row r="38">
          <cell r="A38" t="str">
            <v>Nigeria</v>
          </cell>
          <cell r="B38">
            <v>122750410</v>
          </cell>
        </row>
        <row r="39">
          <cell r="A39" t="str">
            <v>Kuwait</v>
          </cell>
          <cell r="B39">
            <v>110119570</v>
          </cell>
        </row>
        <row r="40">
          <cell r="A40" t="str">
            <v>Bangladesh</v>
          </cell>
          <cell r="B40">
            <v>109075300</v>
          </cell>
        </row>
        <row r="41">
          <cell r="A41" t="str">
            <v>Qatar</v>
          </cell>
          <cell r="B41">
            <v>102617980</v>
          </cell>
        </row>
        <row r="42">
          <cell r="A42" t="str">
            <v>Czech Republic</v>
          </cell>
          <cell r="B42">
            <v>101544650</v>
          </cell>
        </row>
        <row r="43">
          <cell r="A43" t="str">
            <v>Venezuela</v>
          </cell>
          <cell r="B43">
            <v>96924940</v>
          </cell>
        </row>
        <row r="44">
          <cell r="A44" t="str">
            <v>Chile</v>
          </cell>
          <cell r="B44">
            <v>92858760</v>
          </cell>
        </row>
        <row r="45">
          <cell r="A45" t="str">
            <v>Oman</v>
          </cell>
          <cell r="B45">
            <v>91649080</v>
          </cell>
        </row>
        <row r="46">
          <cell r="A46" t="str">
            <v>Belgium</v>
          </cell>
          <cell r="B46">
            <v>90414850</v>
          </cell>
        </row>
        <row r="47">
          <cell r="A47" t="str">
            <v>Colombia</v>
          </cell>
          <cell r="B47">
            <v>88469810</v>
          </cell>
        </row>
        <row r="48">
          <cell r="A48" t="str">
            <v>Romania</v>
          </cell>
          <cell r="B48">
            <v>77289010</v>
          </cell>
        </row>
        <row r="49">
          <cell r="A49" t="str">
            <v>Morocco</v>
          </cell>
          <cell r="B49">
            <v>72642020</v>
          </cell>
        </row>
        <row r="50">
          <cell r="A50" t="str">
            <v>Turkmenistan</v>
          </cell>
          <cell r="B50">
            <v>69882930</v>
          </cell>
        </row>
        <row r="51">
          <cell r="A51" t="str">
            <v>Libya</v>
          </cell>
          <cell r="B51">
            <v>62743000</v>
          </cell>
        </row>
        <row r="52">
          <cell r="A52" t="str">
            <v>Israel</v>
          </cell>
          <cell r="B52">
            <v>61771180</v>
          </cell>
        </row>
        <row r="53">
          <cell r="A53" t="str">
            <v>Peru</v>
          </cell>
          <cell r="B53">
            <v>61610390</v>
          </cell>
        </row>
        <row r="54">
          <cell r="A54" t="str">
            <v>Austria</v>
          </cell>
          <cell r="B54">
            <v>61174530</v>
          </cell>
        </row>
        <row r="55">
          <cell r="A55" t="str">
            <v>Belarus</v>
          </cell>
          <cell r="B55">
            <v>57411420</v>
          </cell>
        </row>
        <row r="56">
          <cell r="A56" t="str">
            <v>Greece</v>
          </cell>
          <cell r="B56">
            <v>56777160</v>
          </cell>
        </row>
        <row r="57">
          <cell r="A57" t="str">
            <v>North Korea</v>
          </cell>
          <cell r="B57">
            <v>54403780</v>
          </cell>
        </row>
        <row r="58">
          <cell r="A58" t="str">
            <v>Singapore</v>
          </cell>
          <cell r="B58">
            <v>53439690</v>
          </cell>
        </row>
        <row r="59">
          <cell r="A59" t="str">
            <v>Bulgaria</v>
          </cell>
          <cell r="B59">
            <v>50103300</v>
          </cell>
        </row>
        <row r="60">
          <cell r="A60" t="str">
            <v>Hungary</v>
          </cell>
          <cell r="B60">
            <v>47291880</v>
          </cell>
        </row>
        <row r="61">
          <cell r="A61" t="str">
            <v>Ecuador</v>
          </cell>
          <cell r="B61">
            <v>46106910</v>
          </cell>
        </row>
        <row r="62">
          <cell r="A62" t="str">
            <v>Norway</v>
          </cell>
          <cell r="B62">
            <v>42283660</v>
          </cell>
        </row>
        <row r="63">
          <cell r="A63" t="str">
            <v>Portugal</v>
          </cell>
          <cell r="B63">
            <v>41281720</v>
          </cell>
        </row>
        <row r="64">
          <cell r="A64" t="str">
            <v>Bahrain</v>
          </cell>
          <cell r="B64">
            <v>37955110</v>
          </cell>
        </row>
        <row r="65">
          <cell r="A65" t="str">
            <v>Sweden</v>
          </cell>
          <cell r="B65">
            <v>37850250</v>
          </cell>
        </row>
        <row r="66">
          <cell r="A66" t="str">
            <v>Ireland</v>
          </cell>
          <cell r="B66">
            <v>37785560</v>
          </cell>
        </row>
        <row r="67">
          <cell r="A67" t="str">
            <v>Myanmar</v>
          </cell>
          <cell r="B67">
            <v>37394010</v>
          </cell>
        </row>
        <row r="68">
          <cell r="A68" t="str">
            <v>Finland</v>
          </cell>
          <cell r="B68">
            <v>37324670</v>
          </cell>
        </row>
        <row r="69">
          <cell r="A69" t="str">
            <v>Azerbaijan</v>
          </cell>
          <cell r="B69">
            <v>37129640</v>
          </cell>
        </row>
        <row r="70">
          <cell r="A70" t="str">
            <v>Switzerland</v>
          </cell>
          <cell r="B70">
            <v>36105180</v>
          </cell>
        </row>
        <row r="71">
          <cell r="A71" t="str">
            <v>Tunisia</v>
          </cell>
          <cell r="B71">
            <v>35915380</v>
          </cell>
        </row>
        <row r="72">
          <cell r="A72" t="str">
            <v>Slovakia</v>
          </cell>
          <cell r="B72">
            <v>35233230</v>
          </cell>
        </row>
        <row r="73">
          <cell r="A73" t="str">
            <v>Hong Kong</v>
          </cell>
          <cell r="B73">
            <v>32439160</v>
          </cell>
        </row>
        <row r="74">
          <cell r="A74" t="str">
            <v>New Zealand</v>
          </cell>
          <cell r="B74">
            <v>32371130</v>
          </cell>
        </row>
        <row r="75">
          <cell r="A75" t="str">
            <v>Trinidad and Tobago</v>
          </cell>
          <cell r="B75">
            <v>29217380</v>
          </cell>
        </row>
        <row r="76">
          <cell r="A76" t="str">
            <v>Denmark</v>
          </cell>
          <cell r="B76">
            <v>29158760</v>
          </cell>
        </row>
        <row r="77">
          <cell r="A77" t="str">
            <v>Syria</v>
          </cell>
          <cell r="B77">
            <v>28237370</v>
          </cell>
        </row>
        <row r="78">
          <cell r="A78" t="str">
            <v>Cuba</v>
          </cell>
          <cell r="B78">
            <v>24770800</v>
          </cell>
        </row>
        <row r="79">
          <cell r="A79" t="str">
            <v>Sudan</v>
          </cell>
          <cell r="B79">
            <v>24523230</v>
          </cell>
        </row>
        <row r="80">
          <cell r="A80" t="str">
            <v>Ghana</v>
          </cell>
          <cell r="B80">
            <v>24452990</v>
          </cell>
        </row>
        <row r="81">
          <cell r="A81" t="str">
            <v>Lebanon</v>
          </cell>
          <cell r="B81">
            <v>23766110</v>
          </cell>
        </row>
        <row r="82">
          <cell r="A82" t="str">
            <v>Jordan</v>
          </cell>
          <cell r="B82">
            <v>23578900</v>
          </cell>
        </row>
        <row r="83">
          <cell r="A83" t="str">
            <v>Dominican Republic</v>
          </cell>
          <cell r="B83">
            <v>23456970</v>
          </cell>
        </row>
        <row r="84">
          <cell r="A84" t="str">
            <v>Mongolia</v>
          </cell>
          <cell r="B84">
            <v>22095340</v>
          </cell>
        </row>
        <row r="85">
          <cell r="A85" t="str">
            <v>Bolivia</v>
          </cell>
          <cell r="B85">
            <v>21959530</v>
          </cell>
        </row>
        <row r="86">
          <cell r="A86" t="str">
            <v>Bosnia and Herzegovina</v>
          </cell>
          <cell r="B86">
            <v>21826660</v>
          </cell>
        </row>
        <row r="87">
          <cell r="A87" t="str">
            <v>Kenya</v>
          </cell>
          <cell r="B87">
            <v>21527440</v>
          </cell>
        </row>
        <row r="88">
          <cell r="A88" t="str">
            <v>Ethiopia</v>
          </cell>
          <cell r="B88">
            <v>21106910</v>
          </cell>
        </row>
        <row r="89">
          <cell r="A89" t="str">
            <v>Angola</v>
          </cell>
          <cell r="B89">
            <v>20185660</v>
          </cell>
        </row>
        <row r="90">
          <cell r="A90" t="str">
            <v>Laos</v>
          </cell>
          <cell r="B90">
            <v>20125910</v>
          </cell>
        </row>
        <row r="91">
          <cell r="A91" t="str">
            <v>Guatemala</v>
          </cell>
          <cell r="B91">
            <v>20090150</v>
          </cell>
        </row>
        <row r="92">
          <cell r="A92" t="str">
            <v>Sri Lanka</v>
          </cell>
          <cell r="B92">
            <v>18535920</v>
          </cell>
        </row>
        <row r="93">
          <cell r="A93" t="str">
            <v>Cambodia</v>
          </cell>
          <cell r="B93">
            <v>17618910</v>
          </cell>
        </row>
        <row r="94">
          <cell r="A94" t="str">
            <v>Croatia</v>
          </cell>
          <cell r="B94">
            <v>17224970</v>
          </cell>
        </row>
        <row r="95">
          <cell r="A95" t="str">
            <v>Tanzania</v>
          </cell>
          <cell r="B95">
            <v>16978750</v>
          </cell>
        </row>
        <row r="96">
          <cell r="A96" t="str">
            <v>Nepal</v>
          </cell>
          <cell r="B96">
            <v>15847310</v>
          </cell>
        </row>
        <row r="97">
          <cell r="A97" t="str">
            <v>Côte d'Ivoire</v>
          </cell>
          <cell r="B97">
            <v>14491920</v>
          </cell>
        </row>
        <row r="98">
          <cell r="A98" t="str">
            <v>Slovenia</v>
          </cell>
          <cell r="B98">
            <v>13946920</v>
          </cell>
        </row>
        <row r="99">
          <cell r="A99" t="str">
            <v>Lithuania</v>
          </cell>
          <cell r="B99">
            <v>13263810</v>
          </cell>
        </row>
        <row r="100">
          <cell r="A100" t="str">
            <v>Puerto Rico</v>
          </cell>
          <cell r="B100">
            <v>12616570</v>
          </cell>
        </row>
        <row r="101">
          <cell r="A101" t="str">
            <v>Yemen</v>
          </cell>
          <cell r="B101">
            <v>12263170</v>
          </cell>
        </row>
        <row r="102">
          <cell r="A102" t="str">
            <v>Senegal</v>
          </cell>
          <cell r="B102">
            <v>12074690</v>
          </cell>
        </row>
        <row r="103">
          <cell r="A103" t="str">
            <v>Georgia</v>
          </cell>
          <cell r="B103">
            <v>12013890</v>
          </cell>
        </row>
        <row r="104">
          <cell r="A104" t="str">
            <v>Panama</v>
          </cell>
          <cell r="B104">
            <v>11384020</v>
          </cell>
        </row>
        <row r="105">
          <cell r="A105" t="str">
            <v>Estonia</v>
          </cell>
          <cell r="B105">
            <v>10847950</v>
          </cell>
        </row>
        <row r="106">
          <cell r="A106" t="str">
            <v>Honduras</v>
          </cell>
          <cell r="B106">
            <v>10612630</v>
          </cell>
        </row>
        <row r="107">
          <cell r="A107" t="str">
            <v>Tajikistan</v>
          </cell>
          <cell r="B107">
            <v>10551280</v>
          </cell>
        </row>
        <row r="108">
          <cell r="A108" t="str">
            <v>Kyrgyzstan</v>
          </cell>
          <cell r="B108">
            <v>10303360</v>
          </cell>
        </row>
        <row r="109">
          <cell r="A109" t="str">
            <v>Zimbabwe</v>
          </cell>
          <cell r="B109">
            <v>10223730</v>
          </cell>
        </row>
        <row r="110">
          <cell r="A110" t="str">
            <v>Cameroon</v>
          </cell>
          <cell r="B110">
            <v>10080190</v>
          </cell>
        </row>
        <row r="111">
          <cell r="A111" t="str">
            <v>Mozambique</v>
          </cell>
          <cell r="B111">
            <v>10028180</v>
          </cell>
        </row>
        <row r="112">
          <cell r="A112" t="str">
            <v>Paraguay</v>
          </cell>
          <cell r="B112">
            <v>9932550</v>
          </cell>
        </row>
        <row r="113">
          <cell r="A113" t="str">
            <v>Benin</v>
          </cell>
          <cell r="B113">
            <v>9619540</v>
          </cell>
        </row>
        <row r="114">
          <cell r="A114" t="str">
            <v>Brunei</v>
          </cell>
          <cell r="B114">
            <v>9375650</v>
          </cell>
        </row>
        <row r="115">
          <cell r="A115" t="str">
            <v>Zambia</v>
          </cell>
          <cell r="B115">
            <v>9270700</v>
          </cell>
        </row>
        <row r="116">
          <cell r="A116" t="str">
            <v>Moldova</v>
          </cell>
          <cell r="B116">
            <v>8652070</v>
          </cell>
        </row>
        <row r="117">
          <cell r="A117" t="str">
            <v>Costa Rica</v>
          </cell>
          <cell r="B117">
            <v>8608370</v>
          </cell>
        </row>
        <row r="118">
          <cell r="A118" t="str">
            <v>Uruguay</v>
          </cell>
          <cell r="B118">
            <v>8541520</v>
          </cell>
        </row>
        <row r="119">
          <cell r="A119" t="str">
            <v>North Macedonia</v>
          </cell>
          <cell r="B119">
            <v>8336480</v>
          </cell>
        </row>
        <row r="120">
          <cell r="A120" t="str">
            <v>Botswana</v>
          </cell>
          <cell r="B120">
            <v>8213720</v>
          </cell>
        </row>
        <row r="121">
          <cell r="A121" t="str">
            <v>El Salvador</v>
          </cell>
          <cell r="B121">
            <v>7972430</v>
          </cell>
        </row>
        <row r="122">
          <cell r="A122" t="str">
            <v>Luxembourg</v>
          </cell>
          <cell r="B122">
            <v>7586820</v>
          </cell>
        </row>
        <row r="123">
          <cell r="A123" t="str">
            <v>Uganda</v>
          </cell>
          <cell r="B123">
            <v>7540270</v>
          </cell>
        </row>
        <row r="124">
          <cell r="A124" t="str">
            <v>Cyprus</v>
          </cell>
          <cell r="B124">
            <v>7460310</v>
          </cell>
        </row>
        <row r="125">
          <cell r="A125" t="str">
            <v>Congo</v>
          </cell>
          <cell r="B125">
            <v>7435820</v>
          </cell>
        </row>
        <row r="126">
          <cell r="A126" t="str">
            <v>Mali</v>
          </cell>
          <cell r="B126">
            <v>6725970</v>
          </cell>
        </row>
        <row r="127">
          <cell r="A127" t="str">
            <v>Latvia</v>
          </cell>
          <cell r="B127">
            <v>6705370</v>
          </cell>
        </row>
        <row r="128">
          <cell r="A128" t="str">
            <v>Armenia</v>
          </cell>
          <cell r="B128">
            <v>6326530</v>
          </cell>
        </row>
        <row r="129">
          <cell r="A129" t="str">
            <v>Jamaica</v>
          </cell>
          <cell r="B129">
            <v>6083040</v>
          </cell>
        </row>
        <row r="130">
          <cell r="A130" t="str">
            <v>Burkina Faso</v>
          </cell>
          <cell r="B130">
            <v>5820480</v>
          </cell>
        </row>
        <row r="131">
          <cell r="A131" t="str">
            <v>Nicaragua</v>
          </cell>
          <cell r="B131">
            <v>5734390</v>
          </cell>
        </row>
        <row r="132">
          <cell r="A132" t="str">
            <v>Afghanistan</v>
          </cell>
          <cell r="B132">
            <v>5675770</v>
          </cell>
        </row>
        <row r="133">
          <cell r="A133" t="str">
            <v>Malawi</v>
          </cell>
          <cell r="B133">
            <v>5627530</v>
          </cell>
        </row>
        <row r="134">
          <cell r="A134" t="str">
            <v>Gabon</v>
          </cell>
          <cell r="B134">
            <v>5516570</v>
          </cell>
        </row>
        <row r="135">
          <cell r="A135" t="str">
            <v>New Caledonia</v>
          </cell>
          <cell r="B135">
            <v>5361860</v>
          </cell>
        </row>
        <row r="136">
          <cell r="A136" t="str">
            <v>Equatorial Guinea</v>
          </cell>
          <cell r="B136">
            <v>5053870</v>
          </cell>
        </row>
        <row r="137">
          <cell r="A137" t="str">
            <v>Papua New Guinea</v>
          </cell>
          <cell r="B137">
            <v>4715910</v>
          </cell>
        </row>
        <row r="138">
          <cell r="A138" t="str">
            <v>Mauritania</v>
          </cell>
          <cell r="B138">
            <v>4611630</v>
          </cell>
        </row>
        <row r="139">
          <cell r="A139" t="str">
            <v>Albania</v>
          </cell>
          <cell r="B139">
            <v>4486220</v>
          </cell>
        </row>
        <row r="140">
          <cell r="A140" t="str">
            <v>Namibia</v>
          </cell>
          <cell r="B140">
            <v>4287830</v>
          </cell>
        </row>
        <row r="141">
          <cell r="A141" t="str">
            <v>Mauritius</v>
          </cell>
          <cell r="B141">
            <v>4281810</v>
          </cell>
        </row>
        <row r="142">
          <cell r="A142" t="str">
            <v>Guyana</v>
          </cell>
          <cell r="B142">
            <v>3804000</v>
          </cell>
        </row>
        <row r="143">
          <cell r="A143" t="str">
            <v>Guinea</v>
          </cell>
          <cell r="B143">
            <v>3801720</v>
          </cell>
        </row>
        <row r="144">
          <cell r="A144" t="str">
            <v>Iceland</v>
          </cell>
          <cell r="B144">
            <v>3558320</v>
          </cell>
        </row>
        <row r="145">
          <cell r="A145" t="str">
            <v>DR Congo</v>
          </cell>
          <cell r="B145">
            <v>3551810</v>
          </cell>
        </row>
        <row r="146">
          <cell r="A146" t="str">
            <v>Haiti</v>
          </cell>
          <cell r="B146">
            <v>3437040</v>
          </cell>
        </row>
        <row r="147">
          <cell r="A147" t="str">
            <v>Suriname</v>
          </cell>
          <cell r="B147">
            <v>3289020</v>
          </cell>
        </row>
        <row r="148">
          <cell r="A148" t="str">
            <v>Madagascar</v>
          </cell>
          <cell r="B148">
            <v>3190000</v>
          </cell>
        </row>
        <row r="149">
          <cell r="A149" t="str">
            <v>Réunion</v>
          </cell>
          <cell r="B149">
            <v>2736530</v>
          </cell>
        </row>
        <row r="150">
          <cell r="A150" t="str">
            <v>Niger</v>
          </cell>
          <cell r="B150">
            <v>2633180</v>
          </cell>
        </row>
        <row r="151">
          <cell r="A151" t="str">
            <v>Togo</v>
          </cell>
          <cell r="B151">
            <v>2437950</v>
          </cell>
        </row>
        <row r="152">
          <cell r="A152" t="str">
            <v>Macao</v>
          </cell>
          <cell r="B152">
            <v>2247400</v>
          </cell>
        </row>
        <row r="153">
          <cell r="A153" t="str">
            <v>Maldives</v>
          </cell>
          <cell r="B153">
            <v>2181070</v>
          </cell>
        </row>
        <row r="154">
          <cell r="A154" t="str">
            <v>Chad</v>
          </cell>
          <cell r="B154">
            <v>2110370</v>
          </cell>
        </row>
        <row r="155">
          <cell r="A155" t="str">
            <v>Malta</v>
          </cell>
          <cell r="B155">
            <v>1715420</v>
          </cell>
        </row>
        <row r="156">
          <cell r="A156" t="str">
            <v>Bhutan</v>
          </cell>
          <cell r="B156">
            <v>1712460</v>
          </cell>
        </row>
        <row r="157">
          <cell r="A157" t="str">
            <v>Fiji</v>
          </cell>
          <cell r="B157">
            <v>1692890</v>
          </cell>
        </row>
        <row r="158">
          <cell r="A158" t="str">
            <v>Rwanda</v>
          </cell>
          <cell r="B158">
            <v>1626440</v>
          </cell>
        </row>
        <row r="159">
          <cell r="A159" t="str">
            <v>Liberia</v>
          </cell>
          <cell r="B159">
            <v>1622810</v>
          </cell>
        </row>
        <row r="160">
          <cell r="A160" t="str">
            <v>Bahamas</v>
          </cell>
          <cell r="B160">
            <v>1446220</v>
          </cell>
        </row>
        <row r="161">
          <cell r="A161" t="str">
            <v>Palau</v>
          </cell>
          <cell r="B161">
            <v>1357050</v>
          </cell>
        </row>
        <row r="162">
          <cell r="A162" t="str">
            <v>Eswatini</v>
          </cell>
          <cell r="B162">
            <v>1348890</v>
          </cell>
        </row>
        <row r="163">
          <cell r="A163" t="str">
            <v>Sierra Leone</v>
          </cell>
          <cell r="B163">
            <v>1099700</v>
          </cell>
        </row>
        <row r="164">
          <cell r="A164" t="str">
            <v>Seychelles</v>
          </cell>
          <cell r="B164">
            <v>1095060</v>
          </cell>
        </row>
        <row r="165">
          <cell r="A165" t="str">
            <v>Cabo Verde</v>
          </cell>
          <cell r="B165">
            <v>1015010</v>
          </cell>
        </row>
        <row r="166">
          <cell r="A166" t="str">
            <v>French Polynesia</v>
          </cell>
          <cell r="B166">
            <v>956700</v>
          </cell>
        </row>
        <row r="167">
          <cell r="A167" t="str">
            <v>Somalia</v>
          </cell>
          <cell r="B167">
            <v>940570</v>
          </cell>
        </row>
        <row r="168">
          <cell r="A168" t="str">
            <v>Burundi</v>
          </cell>
          <cell r="B168">
            <v>924150</v>
          </cell>
        </row>
        <row r="169">
          <cell r="A169" t="str">
            <v>Guadeloupe</v>
          </cell>
          <cell r="B169">
            <v>904520</v>
          </cell>
        </row>
        <row r="170">
          <cell r="A170" t="str">
            <v>Martinique</v>
          </cell>
          <cell r="B170">
            <v>899240</v>
          </cell>
        </row>
        <row r="171">
          <cell r="A171" t="str">
            <v>Eritrea</v>
          </cell>
          <cell r="B171">
            <v>804660</v>
          </cell>
        </row>
        <row r="172">
          <cell r="A172" t="str">
            <v>Lesotho</v>
          </cell>
          <cell r="B172">
            <v>779000</v>
          </cell>
        </row>
        <row r="173">
          <cell r="A173" t="str">
            <v>Djibouti</v>
          </cell>
          <cell r="B173">
            <v>761120</v>
          </cell>
        </row>
        <row r="174">
          <cell r="A174" t="str">
            <v>Barbados</v>
          </cell>
          <cell r="B174">
            <v>674170</v>
          </cell>
        </row>
        <row r="175">
          <cell r="A175" t="str">
            <v>Gibraltar</v>
          </cell>
          <cell r="B175">
            <v>663620</v>
          </cell>
        </row>
        <row r="176">
          <cell r="A176" t="str">
            <v>Gambia</v>
          </cell>
          <cell r="B176">
            <v>611740</v>
          </cell>
        </row>
        <row r="177">
          <cell r="A177" t="str">
            <v>Timor-Leste</v>
          </cell>
          <cell r="B177">
            <v>572620</v>
          </cell>
        </row>
        <row r="178">
          <cell r="A178" t="str">
            <v>Greenland</v>
          </cell>
          <cell r="B178">
            <v>465940</v>
          </cell>
        </row>
        <row r="179">
          <cell r="A179" t="str">
            <v>Aruba</v>
          </cell>
          <cell r="B179">
            <v>455060</v>
          </cell>
        </row>
        <row r="180">
          <cell r="A180" t="str">
            <v>Samoa</v>
          </cell>
          <cell r="B180">
            <v>355420</v>
          </cell>
        </row>
        <row r="181">
          <cell r="A181" t="str">
            <v>French Guiana</v>
          </cell>
          <cell r="B181">
            <v>354590</v>
          </cell>
        </row>
        <row r="182">
          <cell r="A182" t="str">
            <v>Guinea-Bissau</v>
          </cell>
          <cell r="B182">
            <v>350090</v>
          </cell>
        </row>
        <row r="183">
          <cell r="A183" t="str">
            <v>Comoros</v>
          </cell>
          <cell r="B183">
            <v>342880</v>
          </cell>
        </row>
        <row r="184">
          <cell r="A184" t="str">
            <v>Solomon Islands</v>
          </cell>
          <cell r="B184">
            <v>318050</v>
          </cell>
        </row>
        <row r="185">
          <cell r="A185" t="str">
            <v>Bermuda</v>
          </cell>
          <cell r="B185">
            <v>317540</v>
          </cell>
        </row>
        <row r="186">
          <cell r="A186" t="str">
            <v>Cayman Islands</v>
          </cell>
          <cell r="B186">
            <v>307220</v>
          </cell>
        </row>
        <row r="187">
          <cell r="A187" t="str">
            <v>Antigua and Barbuda</v>
          </cell>
          <cell r="B187">
            <v>277650</v>
          </cell>
        </row>
        <row r="188">
          <cell r="A188" t="str">
            <v>Central African Republic</v>
          </cell>
          <cell r="B188">
            <v>276060</v>
          </cell>
        </row>
        <row r="189">
          <cell r="A189" t="str">
            <v>Belize</v>
          </cell>
          <cell r="B189">
            <v>269430</v>
          </cell>
        </row>
        <row r="190">
          <cell r="A190" t="str">
            <v>Saint Lucia</v>
          </cell>
          <cell r="B190">
            <v>254790</v>
          </cell>
        </row>
        <row r="191">
          <cell r="A191" t="str">
            <v>Western Sahara</v>
          </cell>
          <cell r="B191">
            <v>241500</v>
          </cell>
        </row>
        <row r="192">
          <cell r="A192" t="str">
            <v>Vanuatu</v>
          </cell>
          <cell r="B192">
            <v>218140</v>
          </cell>
        </row>
        <row r="193">
          <cell r="A193" t="str">
            <v>Tonga</v>
          </cell>
          <cell r="B193">
            <v>166860</v>
          </cell>
        </row>
        <row r="194">
          <cell r="A194" t="str">
            <v>Sao Tome &amp; Principe</v>
          </cell>
          <cell r="B194">
            <v>157900</v>
          </cell>
        </row>
        <row r="195">
          <cell r="A195" t="str">
            <v>Grenada</v>
          </cell>
          <cell r="B195">
            <v>122490</v>
          </cell>
        </row>
        <row r="196">
          <cell r="A196" t="str">
            <v>Cook Islands</v>
          </cell>
          <cell r="B196">
            <v>107800</v>
          </cell>
        </row>
        <row r="197">
          <cell r="A197" t="str">
            <v>Saint Kitts &amp; Nevis</v>
          </cell>
          <cell r="B197">
            <v>101920</v>
          </cell>
        </row>
        <row r="198">
          <cell r="A198" t="str">
            <v>Turks and Caicos</v>
          </cell>
          <cell r="B198">
            <v>88360</v>
          </cell>
        </row>
        <row r="199">
          <cell r="A199" t="str">
            <v>St. Vincent &amp; Grenadines</v>
          </cell>
          <cell r="B199">
            <v>82790</v>
          </cell>
        </row>
        <row r="200">
          <cell r="A200" t="str">
            <v>Kiribati</v>
          </cell>
          <cell r="B200">
            <v>73960</v>
          </cell>
        </row>
        <row r="201">
          <cell r="A201" t="str">
            <v>Dominica</v>
          </cell>
          <cell r="B201">
            <v>68810</v>
          </cell>
        </row>
        <row r="202">
          <cell r="A202" t="str">
            <v>British Virgin Islands</v>
          </cell>
          <cell r="B202">
            <v>64670</v>
          </cell>
        </row>
        <row r="203">
          <cell r="A203" t="str">
            <v>Saint Pierre &amp; Miquelon</v>
          </cell>
          <cell r="B203">
            <v>37110</v>
          </cell>
        </row>
        <row r="204">
          <cell r="A204" t="str">
            <v>Anguilla</v>
          </cell>
          <cell r="B204">
            <v>22810</v>
          </cell>
        </row>
        <row r="205">
          <cell r="A205" t="str">
            <v>Falkland Islands</v>
          </cell>
          <cell r="B205">
            <v>21770</v>
          </cell>
        </row>
        <row r="206">
          <cell r="A206" t="str">
            <v>Saint Helena</v>
          </cell>
          <cell r="B206">
            <v>17900</v>
          </cell>
        </row>
        <row r="207">
          <cell r="A207" t="str">
            <v>Faeroe Islands</v>
          </cell>
          <cell r="B207">
            <v>2110</v>
          </cell>
        </row>
      </sheetData>
      <sheetData sheetId="26">
        <row r="1">
          <cell r="A1" t="str">
            <v>Country</v>
          </cell>
          <cell r="B1" t="str">
            <v>Number of Airports</v>
          </cell>
        </row>
        <row r="2">
          <cell r="A2" t="str">
            <v>United States</v>
          </cell>
          <cell r="B2">
            <v>15873</v>
          </cell>
        </row>
        <row r="3">
          <cell r="A3" t="str">
            <v>Brazil</v>
          </cell>
          <cell r="B3">
            <v>4919</v>
          </cell>
        </row>
        <row r="4">
          <cell r="A4" t="str">
            <v>Australia</v>
          </cell>
          <cell r="B4">
            <v>2180</v>
          </cell>
        </row>
        <row r="5">
          <cell r="A5" t="str">
            <v>Mexico</v>
          </cell>
          <cell r="B5">
            <v>1485</v>
          </cell>
        </row>
        <row r="6">
          <cell r="A6" t="str">
            <v>Canada</v>
          </cell>
          <cell r="B6">
            <v>1425</v>
          </cell>
        </row>
        <row r="7">
          <cell r="A7" t="str">
            <v>United Kingdom</v>
          </cell>
          <cell r="B7">
            <v>1043</v>
          </cell>
        </row>
        <row r="8">
          <cell r="A8" t="str">
            <v>Russia</v>
          </cell>
          <cell r="B8">
            <v>904</v>
          </cell>
        </row>
        <row r="9">
          <cell r="A9" t="str">
            <v>Germany</v>
          </cell>
          <cell r="B9">
            <v>838</v>
          </cell>
        </row>
        <row r="10">
          <cell r="A10" t="str">
            <v>Argentina</v>
          </cell>
          <cell r="B10">
            <v>756</v>
          </cell>
        </row>
        <row r="11">
          <cell r="A11" t="str">
            <v>France</v>
          </cell>
          <cell r="B11">
            <v>689</v>
          </cell>
        </row>
        <row r="12">
          <cell r="A12" t="str">
            <v>Colombia</v>
          </cell>
          <cell r="B12">
            <v>662</v>
          </cell>
        </row>
        <row r="13">
          <cell r="A13" t="str">
            <v>Italy</v>
          </cell>
          <cell r="B13">
            <v>636</v>
          </cell>
        </row>
        <row r="14">
          <cell r="A14" t="str">
            <v>South Africa</v>
          </cell>
          <cell r="B14">
            <v>575</v>
          </cell>
        </row>
        <row r="15">
          <cell r="A15" t="str">
            <v>Papua New Guinea</v>
          </cell>
          <cell r="B15">
            <v>535</v>
          </cell>
        </row>
        <row r="16">
          <cell r="A16" t="str">
            <v>China</v>
          </cell>
          <cell r="B16">
            <v>531</v>
          </cell>
        </row>
        <row r="17">
          <cell r="A17" t="str">
            <v>Indonesia</v>
          </cell>
          <cell r="B17">
            <v>513</v>
          </cell>
        </row>
        <row r="18">
          <cell r="A18" t="str">
            <v>Venezuela</v>
          </cell>
          <cell r="B18">
            <v>502</v>
          </cell>
        </row>
        <row r="19">
          <cell r="A19" t="str">
            <v>Chile</v>
          </cell>
          <cell r="B19">
            <v>374</v>
          </cell>
        </row>
        <row r="20">
          <cell r="A20" t="str">
            <v>Kenya</v>
          </cell>
          <cell r="B20">
            <v>370</v>
          </cell>
        </row>
        <row r="21">
          <cell r="A21" t="str">
            <v>Spain</v>
          </cell>
          <cell r="B21">
            <v>363</v>
          </cell>
        </row>
        <row r="22">
          <cell r="A22" t="str">
            <v>India</v>
          </cell>
          <cell r="B22">
            <v>311</v>
          </cell>
        </row>
        <row r="23">
          <cell r="A23" t="str">
            <v>Ecuador</v>
          </cell>
          <cell r="B23">
            <v>310</v>
          </cell>
        </row>
        <row r="24">
          <cell r="A24" t="str">
            <v>Poland</v>
          </cell>
          <cell r="B24">
            <v>288</v>
          </cell>
        </row>
        <row r="25">
          <cell r="A25" t="str">
            <v>Japan</v>
          </cell>
          <cell r="B25">
            <v>279</v>
          </cell>
        </row>
        <row r="26">
          <cell r="A26" t="str">
            <v>Congo, Democratic Republic of the</v>
          </cell>
          <cell r="B26">
            <v>272</v>
          </cell>
        </row>
        <row r="27">
          <cell r="A27" t="str">
            <v>Namibia</v>
          </cell>
          <cell r="B27">
            <v>255</v>
          </cell>
        </row>
        <row r="28">
          <cell r="A28" t="str">
            <v>Philippines</v>
          </cell>
          <cell r="B28">
            <v>246</v>
          </cell>
        </row>
        <row r="29">
          <cell r="A29" t="str">
            <v>Czech Republic</v>
          </cell>
          <cell r="B29">
            <v>243</v>
          </cell>
        </row>
        <row r="30">
          <cell r="A30" t="str">
            <v>Tanzania</v>
          </cell>
          <cell r="B30">
            <v>206</v>
          </cell>
        </row>
        <row r="31">
          <cell r="A31" t="str">
            <v>Sweden</v>
          </cell>
          <cell r="B31">
            <v>203</v>
          </cell>
        </row>
        <row r="32">
          <cell r="A32" t="str">
            <v>New Zealand</v>
          </cell>
          <cell r="B32">
            <v>202</v>
          </cell>
        </row>
        <row r="33">
          <cell r="A33" t="str">
            <v>Bolivia</v>
          </cell>
          <cell r="B33">
            <v>200</v>
          </cell>
        </row>
        <row r="34">
          <cell r="A34" t="str">
            <v>Iran</v>
          </cell>
          <cell r="B34">
            <v>173</v>
          </cell>
        </row>
        <row r="35">
          <cell r="A35" t="str">
            <v>Peru</v>
          </cell>
          <cell r="B35">
            <v>166</v>
          </cell>
        </row>
        <row r="36">
          <cell r="A36" t="str">
            <v>Ukraine</v>
          </cell>
          <cell r="B36">
            <v>148</v>
          </cell>
        </row>
        <row r="37">
          <cell r="A37" t="str">
            <v>Norway</v>
          </cell>
          <cell r="B37">
            <v>145</v>
          </cell>
        </row>
        <row r="38">
          <cell r="A38" t="str">
            <v>Zimbabwe</v>
          </cell>
          <cell r="B38">
            <v>144</v>
          </cell>
        </row>
        <row r="39">
          <cell r="A39" t="str">
            <v>Kazakhstan</v>
          </cell>
          <cell r="B39">
            <v>132</v>
          </cell>
        </row>
        <row r="40">
          <cell r="A40" t="str">
            <v>Portugal</v>
          </cell>
          <cell r="B40">
            <v>130</v>
          </cell>
        </row>
        <row r="41">
          <cell r="A41" t="str">
            <v>Honduras</v>
          </cell>
          <cell r="B41">
            <v>129</v>
          </cell>
        </row>
        <row r="42">
          <cell r="A42" t="str">
            <v>Costa Rica</v>
          </cell>
          <cell r="B42">
            <v>129</v>
          </cell>
        </row>
        <row r="43">
          <cell r="A43" t="str">
            <v>Cuba</v>
          </cell>
          <cell r="B43">
            <v>123</v>
          </cell>
        </row>
        <row r="44">
          <cell r="A44" t="str">
            <v>Botswana</v>
          </cell>
          <cell r="B44">
            <v>122</v>
          </cell>
        </row>
        <row r="45">
          <cell r="A45" t="str">
            <v>Zambia</v>
          </cell>
          <cell r="B45">
            <v>119</v>
          </cell>
        </row>
        <row r="46">
          <cell r="A46" t="str">
            <v>Pakistan</v>
          </cell>
          <cell r="B46">
            <v>116</v>
          </cell>
        </row>
        <row r="47">
          <cell r="A47" t="str">
            <v>Turkey (Turkiye)</v>
          </cell>
          <cell r="B47">
            <v>115</v>
          </cell>
        </row>
        <row r="48">
          <cell r="A48" t="str">
            <v>Slovakia</v>
          </cell>
          <cell r="B48">
            <v>114</v>
          </cell>
        </row>
        <row r="49">
          <cell r="A49" t="str">
            <v>Bulgaria</v>
          </cell>
          <cell r="B49">
            <v>111</v>
          </cell>
        </row>
        <row r="50">
          <cell r="A50" t="str">
            <v>Hungary</v>
          </cell>
          <cell r="B50">
            <v>109</v>
          </cell>
        </row>
        <row r="51">
          <cell r="A51" t="str">
            <v>Thailand</v>
          </cell>
          <cell r="B51">
            <v>108</v>
          </cell>
        </row>
        <row r="52">
          <cell r="A52" t="str">
            <v>Angola</v>
          </cell>
          <cell r="B52">
            <v>106</v>
          </cell>
        </row>
        <row r="53">
          <cell r="A53" t="str">
            <v>Malaysia</v>
          </cell>
          <cell r="B53">
            <v>102</v>
          </cell>
        </row>
        <row r="54">
          <cell r="A54" t="str">
            <v>Ireland</v>
          </cell>
          <cell r="B54">
            <v>100</v>
          </cell>
        </row>
        <row r="55">
          <cell r="A55" t="str">
            <v>Denmark</v>
          </cell>
          <cell r="B55">
            <v>99</v>
          </cell>
        </row>
        <row r="56">
          <cell r="A56" t="str">
            <v>Finland</v>
          </cell>
          <cell r="B56">
            <v>98</v>
          </cell>
        </row>
        <row r="57">
          <cell r="A57" t="str">
            <v>Mozambique</v>
          </cell>
          <cell r="B57">
            <v>92</v>
          </cell>
        </row>
        <row r="58">
          <cell r="A58" t="str">
            <v>Madagascar</v>
          </cell>
          <cell r="B58">
            <v>91</v>
          </cell>
        </row>
        <row r="59">
          <cell r="A59" t="str">
            <v>Korea, South</v>
          </cell>
          <cell r="B59">
            <v>89</v>
          </cell>
        </row>
        <row r="60">
          <cell r="A60" t="str">
            <v>Saudi Arabia</v>
          </cell>
          <cell r="B60">
            <v>86</v>
          </cell>
        </row>
        <row r="61">
          <cell r="A61" t="str">
            <v>Algeria</v>
          </cell>
          <cell r="B61">
            <v>85</v>
          </cell>
        </row>
        <row r="62">
          <cell r="A62" t="str">
            <v>Korea, North</v>
          </cell>
          <cell r="B62">
            <v>83</v>
          </cell>
        </row>
        <row r="63">
          <cell r="A63" t="str">
            <v>Paraguay</v>
          </cell>
          <cell r="B63">
            <v>83</v>
          </cell>
        </row>
        <row r="64">
          <cell r="A64" t="str">
            <v>Iceland</v>
          </cell>
          <cell r="B64">
            <v>83</v>
          </cell>
        </row>
        <row r="65">
          <cell r="A65" t="str">
            <v>South Sudan</v>
          </cell>
          <cell r="B65">
            <v>82</v>
          </cell>
        </row>
        <row r="66">
          <cell r="A66" t="str">
            <v>Romania</v>
          </cell>
          <cell r="B66">
            <v>82</v>
          </cell>
        </row>
        <row r="67">
          <cell r="A67" t="str">
            <v>Greece</v>
          </cell>
          <cell r="B67">
            <v>81</v>
          </cell>
        </row>
        <row r="68">
          <cell r="A68" t="str">
            <v>Panama</v>
          </cell>
          <cell r="B68">
            <v>76</v>
          </cell>
        </row>
        <row r="69">
          <cell r="A69" t="str">
            <v>Uzbekistan</v>
          </cell>
          <cell r="B69">
            <v>74</v>
          </cell>
        </row>
        <row r="70">
          <cell r="A70" t="str">
            <v>Egypt</v>
          </cell>
          <cell r="B70">
            <v>73</v>
          </cell>
        </row>
        <row r="71">
          <cell r="A71" t="str">
            <v>Burma</v>
          </cell>
          <cell r="B71">
            <v>73</v>
          </cell>
        </row>
        <row r="72">
          <cell r="A72" t="str">
            <v>Iraq</v>
          </cell>
          <cell r="B72">
            <v>71</v>
          </cell>
        </row>
        <row r="73">
          <cell r="A73" t="str">
            <v>Afghanistan</v>
          </cell>
          <cell r="B73">
            <v>67</v>
          </cell>
        </row>
        <row r="74">
          <cell r="A74" t="str">
            <v>Libya</v>
          </cell>
          <cell r="B74">
            <v>66</v>
          </cell>
        </row>
        <row r="75">
          <cell r="A75" t="str">
            <v>Lithuania</v>
          </cell>
          <cell r="B75">
            <v>65</v>
          </cell>
        </row>
        <row r="76">
          <cell r="A76" t="str">
            <v>Uruguay</v>
          </cell>
          <cell r="B76">
            <v>64</v>
          </cell>
        </row>
        <row r="77">
          <cell r="A77" t="str">
            <v>Switzerland</v>
          </cell>
          <cell r="B77">
            <v>62</v>
          </cell>
        </row>
        <row r="78">
          <cell r="A78" t="str">
            <v>Austria</v>
          </cell>
          <cell r="B78">
            <v>61</v>
          </cell>
        </row>
        <row r="79">
          <cell r="A79" t="str">
            <v>Guatemala</v>
          </cell>
          <cell r="B79">
            <v>58</v>
          </cell>
        </row>
        <row r="80">
          <cell r="A80" t="str">
            <v>Ethiopia</v>
          </cell>
          <cell r="B80">
            <v>57</v>
          </cell>
        </row>
        <row r="81">
          <cell r="A81" t="str">
            <v>Latvia</v>
          </cell>
          <cell r="B81">
            <v>56</v>
          </cell>
        </row>
        <row r="82">
          <cell r="A82" t="str">
            <v>Congo, Republic of the</v>
          </cell>
          <cell r="B82">
            <v>56</v>
          </cell>
        </row>
        <row r="83">
          <cell r="A83" t="str">
            <v>Suriname</v>
          </cell>
          <cell r="B83">
            <v>55</v>
          </cell>
        </row>
        <row r="84">
          <cell r="A84" t="str">
            <v>Bahamas, The</v>
          </cell>
          <cell r="B84">
            <v>55</v>
          </cell>
        </row>
        <row r="85">
          <cell r="A85" t="str">
            <v>French Polynesia</v>
          </cell>
          <cell r="B85">
            <v>54</v>
          </cell>
        </row>
        <row r="86">
          <cell r="A86" t="str">
            <v>Taiwan</v>
          </cell>
          <cell r="B86">
            <v>53</v>
          </cell>
        </row>
        <row r="87">
          <cell r="A87" t="str">
            <v>Guyana</v>
          </cell>
          <cell r="B87">
            <v>51</v>
          </cell>
        </row>
        <row r="88">
          <cell r="A88" t="str">
            <v>Nepal</v>
          </cell>
          <cell r="B88">
            <v>51</v>
          </cell>
        </row>
        <row r="89">
          <cell r="A89" t="str">
            <v>Belgium</v>
          </cell>
          <cell r="B89">
            <v>49</v>
          </cell>
        </row>
        <row r="90">
          <cell r="A90" t="str">
            <v>Morocco</v>
          </cell>
          <cell r="B90">
            <v>49</v>
          </cell>
        </row>
        <row r="91">
          <cell r="A91" t="str">
            <v>Burkina Faso</v>
          </cell>
          <cell r="B91">
            <v>49</v>
          </cell>
        </row>
        <row r="92">
          <cell r="A92" t="str">
            <v>Nigeria</v>
          </cell>
          <cell r="B92">
            <v>47</v>
          </cell>
        </row>
        <row r="93">
          <cell r="A93" t="str">
            <v>Belarus</v>
          </cell>
          <cell r="B93">
            <v>46</v>
          </cell>
        </row>
        <row r="94">
          <cell r="A94" t="str">
            <v>Netherlands</v>
          </cell>
          <cell r="B94">
            <v>45</v>
          </cell>
        </row>
        <row r="95">
          <cell r="A95" t="str">
            <v>Central African Republic</v>
          </cell>
          <cell r="B95">
            <v>43</v>
          </cell>
        </row>
        <row r="96">
          <cell r="A96" t="str">
            <v>Serbia</v>
          </cell>
          <cell r="B96">
            <v>43</v>
          </cell>
        </row>
        <row r="97">
          <cell r="A97" t="str">
            <v>Chad</v>
          </cell>
          <cell r="B97">
            <v>42</v>
          </cell>
        </row>
        <row r="98">
          <cell r="A98" t="str">
            <v>United Arab Emirates</v>
          </cell>
          <cell r="B98">
            <v>42</v>
          </cell>
        </row>
        <row r="99">
          <cell r="A99" t="str">
            <v>Vietnam</v>
          </cell>
          <cell r="B99">
            <v>42</v>
          </cell>
        </row>
        <row r="100">
          <cell r="A100" t="str">
            <v>Slovenia</v>
          </cell>
          <cell r="B100">
            <v>42</v>
          </cell>
        </row>
        <row r="101">
          <cell r="A101" t="str">
            <v>Sudan</v>
          </cell>
          <cell r="B101">
            <v>41</v>
          </cell>
        </row>
        <row r="102">
          <cell r="A102" t="str">
            <v>Croatia</v>
          </cell>
          <cell r="B102">
            <v>40</v>
          </cell>
        </row>
        <row r="103">
          <cell r="A103" t="str">
            <v>Gabon</v>
          </cell>
          <cell r="B103">
            <v>40</v>
          </cell>
        </row>
        <row r="104">
          <cell r="A104" t="str">
            <v>Syria</v>
          </cell>
          <cell r="B104">
            <v>39</v>
          </cell>
        </row>
        <row r="105">
          <cell r="A105" t="str">
            <v>Nicaragua</v>
          </cell>
          <cell r="B105">
            <v>39</v>
          </cell>
        </row>
        <row r="106">
          <cell r="A106" t="str">
            <v>Uganda</v>
          </cell>
          <cell r="B106">
            <v>39</v>
          </cell>
        </row>
        <row r="107">
          <cell r="A107" t="str">
            <v>Somalia</v>
          </cell>
          <cell r="B107">
            <v>38</v>
          </cell>
        </row>
        <row r="108">
          <cell r="A108" t="str">
            <v>Israel</v>
          </cell>
          <cell r="B108">
            <v>37</v>
          </cell>
        </row>
        <row r="109">
          <cell r="A109" t="str">
            <v>Cameroon</v>
          </cell>
          <cell r="B109">
            <v>37</v>
          </cell>
        </row>
        <row r="110">
          <cell r="A110" t="str">
            <v>Yemen</v>
          </cell>
          <cell r="B110">
            <v>36</v>
          </cell>
        </row>
        <row r="111">
          <cell r="A111" t="str">
            <v>Oman</v>
          </cell>
          <cell r="B111">
            <v>36</v>
          </cell>
        </row>
        <row r="112">
          <cell r="A112" t="str">
            <v>Solomon Islands</v>
          </cell>
          <cell r="B112">
            <v>35</v>
          </cell>
        </row>
        <row r="113">
          <cell r="A113" t="str">
            <v>Mongolia</v>
          </cell>
          <cell r="B113">
            <v>35</v>
          </cell>
        </row>
        <row r="114">
          <cell r="A114" t="str">
            <v>Falkland Islands (Islas Malvinas)</v>
          </cell>
          <cell r="B114">
            <v>34</v>
          </cell>
        </row>
        <row r="115">
          <cell r="A115" t="str">
            <v>Marshall Islands</v>
          </cell>
          <cell r="B115">
            <v>33</v>
          </cell>
        </row>
        <row r="116">
          <cell r="A116" t="str">
            <v>Lesotho</v>
          </cell>
          <cell r="B116">
            <v>33</v>
          </cell>
        </row>
        <row r="117">
          <cell r="A117" t="str">
            <v>Dominican Republic</v>
          </cell>
          <cell r="B117">
            <v>32</v>
          </cell>
        </row>
        <row r="118">
          <cell r="A118" t="str">
            <v>Azerbaijan</v>
          </cell>
          <cell r="B118">
            <v>32</v>
          </cell>
        </row>
        <row r="119">
          <cell r="A119" t="str">
            <v>Vanuatu</v>
          </cell>
          <cell r="B119">
            <v>31</v>
          </cell>
        </row>
        <row r="120">
          <cell r="A120" t="str">
            <v>Antarctica</v>
          </cell>
          <cell r="B120">
            <v>30</v>
          </cell>
        </row>
        <row r="121">
          <cell r="A121" t="str">
            <v>Mali</v>
          </cell>
          <cell r="B121">
            <v>30</v>
          </cell>
        </row>
        <row r="122">
          <cell r="A122" t="str">
            <v>Cote d'Ivoire</v>
          </cell>
          <cell r="B122">
            <v>29</v>
          </cell>
        </row>
        <row r="123">
          <cell r="A123" t="str">
            <v>Kyrgyzstan</v>
          </cell>
          <cell r="B123">
            <v>28</v>
          </cell>
        </row>
        <row r="124">
          <cell r="A124" t="str">
            <v>Malawi</v>
          </cell>
          <cell r="B124">
            <v>28</v>
          </cell>
        </row>
        <row r="125">
          <cell r="A125" t="str">
            <v>Belize</v>
          </cell>
          <cell r="B125">
            <v>27</v>
          </cell>
        </row>
        <row r="126">
          <cell r="A126" t="str">
            <v>El Salvador</v>
          </cell>
          <cell r="B126">
            <v>27</v>
          </cell>
        </row>
        <row r="127">
          <cell r="A127" t="str">
            <v>Niger</v>
          </cell>
          <cell r="B127">
            <v>26</v>
          </cell>
        </row>
        <row r="128">
          <cell r="A128" t="str">
            <v>Fiji</v>
          </cell>
          <cell r="B128">
            <v>26</v>
          </cell>
        </row>
        <row r="129">
          <cell r="A129" t="str">
            <v>Estonia</v>
          </cell>
          <cell r="B129">
            <v>26</v>
          </cell>
        </row>
        <row r="130">
          <cell r="A130" t="str">
            <v>Greenland</v>
          </cell>
          <cell r="B130">
            <v>25</v>
          </cell>
        </row>
        <row r="131">
          <cell r="A131" t="str">
            <v>Mauritania</v>
          </cell>
          <cell r="B131">
            <v>25</v>
          </cell>
        </row>
        <row r="132">
          <cell r="A132" t="str">
            <v>Turkmenistan</v>
          </cell>
          <cell r="B132">
            <v>23</v>
          </cell>
        </row>
        <row r="133">
          <cell r="A133" t="str">
            <v>Kiribati</v>
          </cell>
          <cell r="B133">
            <v>21</v>
          </cell>
        </row>
        <row r="134">
          <cell r="A134" t="str">
            <v>New Caledonia</v>
          </cell>
          <cell r="B134">
            <v>21</v>
          </cell>
        </row>
        <row r="135">
          <cell r="A135" t="str">
            <v>Puerto Rico</v>
          </cell>
          <cell r="B135">
            <v>20</v>
          </cell>
        </row>
        <row r="136">
          <cell r="A136" t="str">
            <v>Jamaica</v>
          </cell>
          <cell r="B136">
            <v>20</v>
          </cell>
        </row>
        <row r="137">
          <cell r="A137" t="str">
            <v>Senegal</v>
          </cell>
          <cell r="B137">
            <v>19</v>
          </cell>
        </row>
        <row r="138">
          <cell r="A138" t="str">
            <v>Georgia</v>
          </cell>
          <cell r="B138">
            <v>19</v>
          </cell>
        </row>
        <row r="139">
          <cell r="A139" t="str">
            <v>Liberia</v>
          </cell>
          <cell r="B139">
            <v>19</v>
          </cell>
        </row>
        <row r="140">
          <cell r="A140" t="str">
            <v>Tajikistan</v>
          </cell>
          <cell r="B140">
            <v>19</v>
          </cell>
        </row>
        <row r="141">
          <cell r="A141" t="str">
            <v>Maldives</v>
          </cell>
          <cell r="B141">
            <v>19</v>
          </cell>
        </row>
        <row r="142">
          <cell r="A142" t="str">
            <v>Sri Lanka</v>
          </cell>
          <cell r="B142">
            <v>18</v>
          </cell>
        </row>
        <row r="143">
          <cell r="A143" t="str">
            <v>Laos</v>
          </cell>
          <cell r="B143">
            <v>18</v>
          </cell>
        </row>
        <row r="144">
          <cell r="A144" t="str">
            <v>Bangladesh</v>
          </cell>
          <cell r="B144">
            <v>17</v>
          </cell>
        </row>
        <row r="145">
          <cell r="A145" t="str">
            <v>Jordan</v>
          </cell>
          <cell r="B145">
            <v>17</v>
          </cell>
        </row>
        <row r="146">
          <cell r="A146" t="str">
            <v>Haiti</v>
          </cell>
          <cell r="B146">
            <v>17</v>
          </cell>
        </row>
        <row r="147">
          <cell r="A147" t="str">
            <v>Eswatini</v>
          </cell>
          <cell r="B147">
            <v>16</v>
          </cell>
        </row>
        <row r="148">
          <cell r="A148" t="str">
            <v>Guinea</v>
          </cell>
          <cell r="B148">
            <v>16</v>
          </cell>
        </row>
        <row r="149">
          <cell r="A149" t="str">
            <v>Seychelles</v>
          </cell>
          <cell r="B149">
            <v>16</v>
          </cell>
        </row>
        <row r="150">
          <cell r="A150" t="str">
            <v>Tunisia</v>
          </cell>
          <cell r="B150">
            <v>14</v>
          </cell>
        </row>
        <row r="151">
          <cell r="A151" t="str">
            <v>Cambodia</v>
          </cell>
          <cell r="B151">
            <v>13</v>
          </cell>
        </row>
        <row r="152">
          <cell r="A152" t="str">
            <v>North Macedonia</v>
          </cell>
          <cell r="B152">
            <v>13</v>
          </cell>
        </row>
        <row r="153">
          <cell r="A153" t="str">
            <v>Cyprus</v>
          </cell>
          <cell r="B153">
            <v>13</v>
          </cell>
        </row>
        <row r="154">
          <cell r="A154" t="str">
            <v>Bosnia and Herzegovina</v>
          </cell>
          <cell r="B154">
            <v>13</v>
          </cell>
        </row>
        <row r="155">
          <cell r="A155" t="str">
            <v>Armenia</v>
          </cell>
          <cell r="B155">
            <v>11</v>
          </cell>
        </row>
        <row r="156">
          <cell r="A156" t="str">
            <v>Moldova</v>
          </cell>
          <cell r="B156">
            <v>11</v>
          </cell>
        </row>
        <row r="157">
          <cell r="A157" t="str">
            <v>Ghana</v>
          </cell>
          <cell r="B157">
            <v>11</v>
          </cell>
        </row>
        <row r="158">
          <cell r="A158" t="str">
            <v>Cabo Verde</v>
          </cell>
          <cell r="B158">
            <v>10</v>
          </cell>
        </row>
        <row r="159">
          <cell r="A159" t="str">
            <v>Benin</v>
          </cell>
          <cell r="B159">
            <v>10</v>
          </cell>
        </row>
        <row r="160">
          <cell r="A160" t="str">
            <v>Djibouti</v>
          </cell>
          <cell r="B160">
            <v>10</v>
          </cell>
        </row>
        <row r="161">
          <cell r="A161" t="str">
            <v>Eritrea</v>
          </cell>
          <cell r="B161">
            <v>10</v>
          </cell>
        </row>
        <row r="162">
          <cell r="A162" t="str">
            <v>Cook Islands</v>
          </cell>
          <cell r="B162">
            <v>10</v>
          </cell>
        </row>
        <row r="163">
          <cell r="A163" t="str">
            <v>Timor-Leste</v>
          </cell>
          <cell r="B163">
            <v>10</v>
          </cell>
        </row>
        <row r="164">
          <cell r="A164" t="str">
            <v>Turks and Caicos Islands</v>
          </cell>
          <cell r="B164">
            <v>9</v>
          </cell>
        </row>
        <row r="165">
          <cell r="A165" t="str">
            <v>Singapore</v>
          </cell>
          <cell r="B165">
            <v>9</v>
          </cell>
        </row>
        <row r="166">
          <cell r="A166" t="str">
            <v>Rwanda</v>
          </cell>
          <cell r="B166">
            <v>8</v>
          </cell>
        </row>
        <row r="167">
          <cell r="A167" t="str">
            <v>Qatar</v>
          </cell>
          <cell r="B167">
            <v>8</v>
          </cell>
        </row>
        <row r="168">
          <cell r="A168" t="str">
            <v>Sierra Leone</v>
          </cell>
          <cell r="B168">
            <v>8</v>
          </cell>
        </row>
        <row r="169">
          <cell r="A169" t="str">
            <v>Lebanon</v>
          </cell>
          <cell r="B169">
            <v>8</v>
          </cell>
        </row>
        <row r="170">
          <cell r="A170" t="str">
            <v>Micronesia, Federated States of</v>
          </cell>
          <cell r="B170">
            <v>7</v>
          </cell>
        </row>
        <row r="171">
          <cell r="A171" t="str">
            <v>Guinea-Bissau</v>
          </cell>
          <cell r="B171">
            <v>7</v>
          </cell>
        </row>
        <row r="172">
          <cell r="A172" t="str">
            <v>Equatorial Guinea</v>
          </cell>
          <cell r="B172">
            <v>7</v>
          </cell>
        </row>
        <row r="173">
          <cell r="A173" t="str">
            <v>Togo</v>
          </cell>
          <cell r="B173">
            <v>7</v>
          </cell>
        </row>
        <row r="174">
          <cell r="A174" t="str">
            <v>Burundi</v>
          </cell>
          <cell r="B174">
            <v>6</v>
          </cell>
        </row>
        <row r="175">
          <cell r="A175" t="str">
            <v>Kuwait</v>
          </cell>
          <cell r="B175">
            <v>6</v>
          </cell>
        </row>
        <row r="176">
          <cell r="A176" t="str">
            <v>Tonga</v>
          </cell>
          <cell r="B176">
            <v>6</v>
          </cell>
        </row>
        <row r="177">
          <cell r="A177" t="str">
            <v>Saint Vincent and the Grenadines</v>
          </cell>
          <cell r="B177">
            <v>5</v>
          </cell>
        </row>
        <row r="178">
          <cell r="A178" t="str">
            <v>Montenegro</v>
          </cell>
          <cell r="B178">
            <v>5</v>
          </cell>
        </row>
        <row r="179">
          <cell r="A179" t="str">
            <v>Kosovo</v>
          </cell>
          <cell r="B179">
            <v>4</v>
          </cell>
        </row>
        <row r="180">
          <cell r="A180" t="str">
            <v>Bhutan</v>
          </cell>
          <cell r="B180">
            <v>4</v>
          </cell>
        </row>
        <row r="181">
          <cell r="A181" t="str">
            <v>Isle of Man</v>
          </cell>
          <cell r="B181">
            <v>4</v>
          </cell>
        </row>
        <row r="182">
          <cell r="A182" t="str">
            <v>Northern Mariana Islands</v>
          </cell>
          <cell r="B182">
            <v>4</v>
          </cell>
        </row>
        <row r="183">
          <cell r="A183" t="str">
            <v>French Southern and Antarctic Lands</v>
          </cell>
          <cell r="B183">
            <v>4</v>
          </cell>
        </row>
        <row r="184">
          <cell r="A184" t="str">
            <v>Mauritius</v>
          </cell>
          <cell r="B184">
            <v>4</v>
          </cell>
        </row>
        <row r="185">
          <cell r="A185" t="str">
            <v>Albania</v>
          </cell>
          <cell r="B185">
            <v>3</v>
          </cell>
        </row>
        <row r="186">
          <cell r="A186" t="str">
            <v>Guam</v>
          </cell>
          <cell r="B186">
            <v>3</v>
          </cell>
        </row>
        <row r="187">
          <cell r="A187" t="str">
            <v>Samoa</v>
          </cell>
          <cell r="B187">
            <v>3</v>
          </cell>
        </row>
        <row r="188">
          <cell r="A188" t="str">
            <v>Antigua and Barbuda</v>
          </cell>
          <cell r="B188">
            <v>3</v>
          </cell>
        </row>
        <row r="189">
          <cell r="A189" t="str">
            <v>Cayman Islands</v>
          </cell>
          <cell r="B189">
            <v>3</v>
          </cell>
        </row>
        <row r="190">
          <cell r="A190" t="str">
            <v>Palau</v>
          </cell>
          <cell r="B190">
            <v>3</v>
          </cell>
        </row>
        <row r="191">
          <cell r="A191" t="str">
            <v>Bahrain</v>
          </cell>
          <cell r="B191">
            <v>3</v>
          </cell>
        </row>
        <row r="192">
          <cell r="A192" t="str">
            <v>Comoros</v>
          </cell>
          <cell r="B192">
            <v>3</v>
          </cell>
        </row>
        <row r="193">
          <cell r="A193" t="str">
            <v>American Samoa</v>
          </cell>
          <cell r="B193">
            <v>3</v>
          </cell>
        </row>
        <row r="194">
          <cell r="A194" t="str">
            <v>Trinidad and Tobago</v>
          </cell>
          <cell r="B194">
            <v>3</v>
          </cell>
        </row>
        <row r="195">
          <cell r="A195" t="str">
            <v>Luxembourg</v>
          </cell>
          <cell r="B195">
            <v>3</v>
          </cell>
        </row>
        <row r="196">
          <cell r="A196" t="str">
            <v>British Virgin Islands</v>
          </cell>
          <cell r="B196">
            <v>3</v>
          </cell>
        </row>
        <row r="197">
          <cell r="A197" t="str">
            <v>Hong Kong</v>
          </cell>
          <cell r="B197">
            <v>3</v>
          </cell>
        </row>
        <row r="198">
          <cell r="A198" t="str">
            <v>Saint Helena, Ascension, and Tristan da Cunha</v>
          </cell>
          <cell r="B198">
            <v>2</v>
          </cell>
        </row>
        <row r="199">
          <cell r="A199" t="str">
            <v>Barbados</v>
          </cell>
          <cell r="B199">
            <v>2</v>
          </cell>
        </row>
        <row r="200">
          <cell r="A200" t="str">
            <v>Wallis and Futuna</v>
          </cell>
          <cell r="B200">
            <v>2</v>
          </cell>
        </row>
        <row r="201">
          <cell r="A201" t="str">
            <v>Brunei</v>
          </cell>
          <cell r="B201">
            <v>2</v>
          </cell>
        </row>
        <row r="202">
          <cell r="A202" t="str">
            <v>Sao Tome and Principe</v>
          </cell>
          <cell r="B202">
            <v>2</v>
          </cell>
        </row>
        <row r="203">
          <cell r="A203" t="str">
            <v>Dominica</v>
          </cell>
          <cell r="B203">
            <v>2</v>
          </cell>
        </row>
        <row r="204">
          <cell r="A204" t="str">
            <v>Saint Pierre and Miquelon</v>
          </cell>
          <cell r="B204">
            <v>2</v>
          </cell>
        </row>
        <row r="205">
          <cell r="A205" t="str">
            <v>Grenada</v>
          </cell>
          <cell r="B205">
            <v>2</v>
          </cell>
        </row>
        <row r="206">
          <cell r="A206" t="str">
            <v>Saint Lucia</v>
          </cell>
          <cell r="B206">
            <v>2</v>
          </cell>
        </row>
        <row r="207">
          <cell r="A207" t="str">
            <v>Saint Kitts and Nevis</v>
          </cell>
          <cell r="B207">
            <v>2</v>
          </cell>
        </row>
        <row r="208">
          <cell r="A208" t="str">
            <v>Guernsey</v>
          </cell>
          <cell r="B208">
            <v>2</v>
          </cell>
        </row>
        <row r="209">
          <cell r="A209" t="str">
            <v>United States Pacific Island Wildlife Refuges</v>
          </cell>
          <cell r="B209">
            <v>2</v>
          </cell>
        </row>
        <row r="210">
          <cell r="A210" t="str">
            <v>Virgin Islands</v>
          </cell>
          <cell r="B210">
            <v>2</v>
          </cell>
        </row>
        <row r="211">
          <cell r="A211" t="str">
            <v>Macau</v>
          </cell>
          <cell r="B211">
            <v>1</v>
          </cell>
        </row>
        <row r="212">
          <cell r="A212" t="str">
            <v>West Bank</v>
          </cell>
          <cell r="B212">
            <v>1</v>
          </cell>
        </row>
        <row r="213">
          <cell r="A213" t="str">
            <v>Saint Barthelemy</v>
          </cell>
          <cell r="B213">
            <v>1</v>
          </cell>
        </row>
        <row r="214">
          <cell r="A214" t="str">
            <v>Tuvalu</v>
          </cell>
          <cell r="B214">
            <v>1</v>
          </cell>
        </row>
        <row r="215">
          <cell r="A215" t="str">
            <v>San Marino</v>
          </cell>
          <cell r="B215">
            <v>1</v>
          </cell>
        </row>
        <row r="216">
          <cell r="A216" t="str">
            <v>Norfolk Island</v>
          </cell>
          <cell r="B216">
            <v>1</v>
          </cell>
        </row>
        <row r="217">
          <cell r="A217" t="str">
            <v>Gibraltar</v>
          </cell>
          <cell r="B217">
            <v>1</v>
          </cell>
        </row>
        <row r="218">
          <cell r="A218" t="str">
            <v>Montserrat</v>
          </cell>
          <cell r="B218">
            <v>1</v>
          </cell>
        </row>
        <row r="219">
          <cell r="A219" t="str">
            <v>Cocos (Keeling) Islands</v>
          </cell>
          <cell r="B219">
            <v>1</v>
          </cell>
        </row>
        <row r="220">
          <cell r="A220" t="str">
            <v>Malta</v>
          </cell>
          <cell r="B220">
            <v>1</v>
          </cell>
        </row>
        <row r="221">
          <cell r="A221" t="str">
            <v>Aruba</v>
          </cell>
          <cell r="B221">
            <v>1</v>
          </cell>
        </row>
        <row r="222">
          <cell r="A222" t="str">
            <v>Curacao</v>
          </cell>
          <cell r="B222">
            <v>1</v>
          </cell>
        </row>
        <row r="223">
          <cell r="A223" t="str">
            <v>Gambia, The</v>
          </cell>
          <cell r="B223">
            <v>1</v>
          </cell>
        </row>
        <row r="224">
          <cell r="A224" t="str">
            <v>Niue</v>
          </cell>
          <cell r="B224">
            <v>1</v>
          </cell>
        </row>
        <row r="225">
          <cell r="A225" t="str">
            <v>Anguilla</v>
          </cell>
          <cell r="B225">
            <v>1</v>
          </cell>
        </row>
        <row r="226">
          <cell r="A226" t="str">
            <v>Wake Island</v>
          </cell>
          <cell r="B226">
            <v>1</v>
          </cell>
        </row>
        <row r="227">
          <cell r="A227" t="str">
            <v>Nauru</v>
          </cell>
          <cell r="B227">
            <v>1</v>
          </cell>
        </row>
        <row r="228">
          <cell r="A228" t="str">
            <v>British Indian Ocean Territory</v>
          </cell>
          <cell r="B228">
            <v>1</v>
          </cell>
        </row>
        <row r="229">
          <cell r="A229" t="str">
            <v>Faroe Islands</v>
          </cell>
          <cell r="B229">
            <v>1</v>
          </cell>
        </row>
        <row r="230">
          <cell r="A230" t="str">
            <v>Christmas Island</v>
          </cell>
          <cell r="B230">
            <v>1</v>
          </cell>
        </row>
        <row r="231">
          <cell r="A231" t="str">
            <v>Saint Martin</v>
          </cell>
          <cell r="B231">
            <v>1</v>
          </cell>
        </row>
        <row r="232">
          <cell r="A232" t="str">
            <v>Bermuda</v>
          </cell>
          <cell r="B232">
            <v>1</v>
          </cell>
        </row>
        <row r="233">
          <cell r="A233" t="str">
            <v>Sint Maarten</v>
          </cell>
          <cell r="B233">
            <v>1</v>
          </cell>
        </row>
        <row r="234">
          <cell r="A234" t="str">
            <v>Jersey</v>
          </cell>
          <cell r="B234">
            <v>1</v>
          </cell>
        </row>
      </sheetData>
      <sheetData sheetId="27">
        <row r="1">
          <cell r="A1" t="str">
            <v>Entity</v>
          </cell>
          <cell r="M1" t="str">
            <v>Renewable Energies per capita</v>
          </cell>
        </row>
        <row r="2">
          <cell r="A2" t="str">
            <v>Argentina</v>
          </cell>
          <cell r="M2">
            <v>158255940</v>
          </cell>
        </row>
        <row r="3">
          <cell r="A3" t="str">
            <v>Australia</v>
          </cell>
          <cell r="M3">
            <v>144131911</v>
          </cell>
        </row>
        <row r="4">
          <cell r="A4" t="str">
            <v>Austria</v>
          </cell>
          <cell r="M4">
            <v>238618080</v>
          </cell>
        </row>
        <row r="5">
          <cell r="A5" t="str">
            <v>Bangladesh</v>
          </cell>
          <cell r="M5">
            <v>121118688</v>
          </cell>
        </row>
        <row r="6">
          <cell r="A6" t="str">
            <v>Belgium</v>
          </cell>
          <cell r="M6">
            <v>184014438</v>
          </cell>
        </row>
        <row r="7">
          <cell r="A7" t="str">
            <v>Bolivia</v>
          </cell>
          <cell r="M7">
            <v>138466288</v>
          </cell>
        </row>
        <row r="8">
          <cell r="A8" t="str">
            <v>Bosnia and Herzegovina</v>
          </cell>
          <cell r="M8">
            <v>87391053</v>
          </cell>
        </row>
        <row r="9">
          <cell r="A9" t="str">
            <v>Brazil</v>
          </cell>
          <cell r="M9">
            <v>189309839</v>
          </cell>
        </row>
        <row r="10">
          <cell r="A10" t="str">
            <v>Bulgaria</v>
          </cell>
          <cell r="M10">
            <v>195582466</v>
          </cell>
        </row>
        <row r="11">
          <cell r="A11" t="str">
            <v>Canada</v>
          </cell>
          <cell r="M11">
            <v>198061765</v>
          </cell>
        </row>
        <row r="12">
          <cell r="A12" t="str">
            <v>Chile</v>
          </cell>
          <cell r="M12">
            <v>195271547</v>
          </cell>
        </row>
        <row r="13">
          <cell r="A13" t="str">
            <v>China</v>
          </cell>
          <cell r="M13">
            <v>291555854</v>
          </cell>
        </row>
        <row r="14">
          <cell r="A14" t="str">
            <v>Colombia</v>
          </cell>
          <cell r="M14">
            <v>152815097</v>
          </cell>
        </row>
        <row r="15">
          <cell r="A15" t="str">
            <v>Costa Rica</v>
          </cell>
          <cell r="M15">
            <v>100188443</v>
          </cell>
        </row>
        <row r="16">
          <cell r="A16" t="str">
            <v>Croatia</v>
          </cell>
          <cell r="M16">
            <v>169018474</v>
          </cell>
        </row>
        <row r="17">
          <cell r="A17" t="str">
            <v>Cyprus</v>
          </cell>
          <cell r="M17">
            <v>104908647</v>
          </cell>
        </row>
        <row r="18">
          <cell r="A18" t="str">
            <v>Czech Republic</v>
          </cell>
          <cell r="M18">
            <v>106771916</v>
          </cell>
        </row>
        <row r="19">
          <cell r="A19" t="str">
            <v>Denmark</v>
          </cell>
          <cell r="M19">
            <v>236257995</v>
          </cell>
        </row>
        <row r="20">
          <cell r="A20" t="str">
            <v>Ecuador</v>
          </cell>
          <cell r="M20">
            <v>38837872</v>
          </cell>
        </row>
        <row r="21">
          <cell r="A21" t="str">
            <v>Egypt</v>
          </cell>
          <cell r="M21">
            <v>81020897</v>
          </cell>
        </row>
        <row r="22">
          <cell r="A22" t="str">
            <v>El Salvador</v>
          </cell>
          <cell r="M22">
            <v>113433795</v>
          </cell>
        </row>
        <row r="23">
          <cell r="A23" t="str">
            <v>Estonia</v>
          </cell>
          <cell r="M23">
            <v>295290769</v>
          </cell>
        </row>
        <row r="24">
          <cell r="A24" t="str">
            <v>Finland</v>
          </cell>
          <cell r="M24">
            <v>312921727</v>
          </cell>
        </row>
        <row r="25">
          <cell r="A25" t="str">
            <v>France</v>
          </cell>
          <cell r="M25">
            <v>251569017</v>
          </cell>
        </row>
        <row r="26">
          <cell r="A26" t="str">
            <v>Georgia</v>
          </cell>
          <cell r="M26">
            <v>54164417</v>
          </cell>
        </row>
        <row r="27">
          <cell r="A27" t="str">
            <v>Germany</v>
          </cell>
          <cell r="M27">
            <v>286676341</v>
          </cell>
        </row>
        <row r="28">
          <cell r="A28" t="str">
            <v>Greece</v>
          </cell>
          <cell r="M28">
            <v>214238550</v>
          </cell>
        </row>
        <row r="29">
          <cell r="A29" t="str">
            <v>Hungary</v>
          </cell>
          <cell r="M29">
            <v>205727692</v>
          </cell>
        </row>
        <row r="30">
          <cell r="A30" t="str">
            <v>India</v>
          </cell>
          <cell r="M30">
            <v>128993439</v>
          </cell>
        </row>
        <row r="31">
          <cell r="A31" t="str">
            <v>Indonesia</v>
          </cell>
          <cell r="M31">
            <v>175596431</v>
          </cell>
        </row>
        <row r="32">
          <cell r="A32" t="str">
            <v>Iran</v>
          </cell>
          <cell r="M32">
            <v>118071923</v>
          </cell>
        </row>
        <row r="33">
          <cell r="A33" t="str">
            <v>Ireland</v>
          </cell>
          <cell r="M33">
            <v>201256454</v>
          </cell>
        </row>
        <row r="34">
          <cell r="A34" t="str">
            <v>Italy</v>
          </cell>
          <cell r="M34">
            <v>196455744</v>
          </cell>
        </row>
        <row r="35">
          <cell r="A35" t="str">
            <v>Japan</v>
          </cell>
          <cell r="M35">
            <v>179376029</v>
          </cell>
        </row>
        <row r="36">
          <cell r="A36" t="str">
            <v>Kazakhstan</v>
          </cell>
          <cell r="M36">
            <v>154019249</v>
          </cell>
        </row>
        <row r="37">
          <cell r="A37" t="str">
            <v>Kenya</v>
          </cell>
          <cell r="M37">
            <v>161958346</v>
          </cell>
        </row>
        <row r="38">
          <cell r="A38" t="str">
            <v>Kosovo</v>
          </cell>
          <cell r="M38">
            <v>70095016</v>
          </cell>
        </row>
        <row r="39">
          <cell r="A39" t="str">
            <v>Kuwait</v>
          </cell>
          <cell r="M39">
            <v>59123591</v>
          </cell>
        </row>
        <row r="40">
          <cell r="A40" t="str">
            <v>Latvia</v>
          </cell>
          <cell r="M40">
            <v>119811128</v>
          </cell>
        </row>
        <row r="41">
          <cell r="A41" t="str">
            <v>Lithuania</v>
          </cell>
          <cell r="M41">
            <v>204535688</v>
          </cell>
        </row>
        <row r="42">
          <cell r="A42" t="str">
            <v>Luxembourg</v>
          </cell>
          <cell r="M42">
            <v>119125621</v>
          </cell>
        </row>
        <row r="43">
          <cell r="A43" t="str">
            <v>Malaysia</v>
          </cell>
          <cell r="M43">
            <v>182066520</v>
          </cell>
        </row>
        <row r="44">
          <cell r="A44" t="str">
            <v>Malta</v>
          </cell>
          <cell r="M44">
            <v>211185739</v>
          </cell>
        </row>
        <row r="45">
          <cell r="A45" t="str">
            <v>Mexico</v>
          </cell>
          <cell r="M45">
            <v>177834265</v>
          </cell>
        </row>
        <row r="46">
          <cell r="A46" t="str">
            <v>Moldova</v>
          </cell>
          <cell r="M46">
            <v>53027778</v>
          </cell>
        </row>
        <row r="47">
          <cell r="A47" t="str">
            <v>Mongolia</v>
          </cell>
          <cell r="M47">
            <v>71615537</v>
          </cell>
        </row>
        <row r="48">
          <cell r="A48" t="str">
            <v>Montenegro</v>
          </cell>
          <cell r="M48">
            <v>42028077</v>
          </cell>
        </row>
        <row r="49">
          <cell r="A49" t="str">
            <v>Morocco</v>
          </cell>
          <cell r="M49">
            <v>202687357</v>
          </cell>
        </row>
        <row r="50">
          <cell r="A50" t="str">
            <v>Myanmar</v>
          </cell>
          <cell r="M50">
            <v>181666609</v>
          </cell>
        </row>
        <row r="51">
          <cell r="A51" t="str">
            <v>Netherlands</v>
          </cell>
          <cell r="M51">
            <v>169812107</v>
          </cell>
        </row>
        <row r="52">
          <cell r="A52" t="str">
            <v>New Zealand</v>
          </cell>
          <cell r="M52">
            <v>278234873</v>
          </cell>
        </row>
        <row r="53">
          <cell r="A53" t="str">
            <v>Nigeria</v>
          </cell>
          <cell r="M53">
            <v>36420156</v>
          </cell>
        </row>
        <row r="54">
          <cell r="A54" t="str">
            <v>North Macedonia</v>
          </cell>
          <cell r="M54">
            <v>247976436</v>
          </cell>
        </row>
        <row r="55">
          <cell r="A55" t="str">
            <v>Norway</v>
          </cell>
          <cell r="M55">
            <v>125662110</v>
          </cell>
        </row>
        <row r="56">
          <cell r="A56" t="str">
            <v>Oman</v>
          </cell>
          <cell r="M56">
            <v>100120919</v>
          </cell>
        </row>
        <row r="57">
          <cell r="A57" t="str">
            <v>Pakistan</v>
          </cell>
          <cell r="M57">
            <v>248573648</v>
          </cell>
        </row>
        <row r="58">
          <cell r="A58" t="str">
            <v>Paraguay</v>
          </cell>
          <cell r="M58">
            <v>8282413</v>
          </cell>
        </row>
        <row r="59">
          <cell r="A59" t="str">
            <v>Peru</v>
          </cell>
          <cell r="M59">
            <v>92494567</v>
          </cell>
        </row>
        <row r="60">
          <cell r="A60" t="str">
            <v>Philippines</v>
          </cell>
          <cell r="M60">
            <v>297005122</v>
          </cell>
        </row>
        <row r="61">
          <cell r="A61" t="str">
            <v>Poland</v>
          </cell>
          <cell r="M61">
            <v>127740732</v>
          </cell>
        </row>
        <row r="62">
          <cell r="A62" t="str">
            <v>Portugal</v>
          </cell>
          <cell r="M62">
            <v>146463470</v>
          </cell>
        </row>
        <row r="63">
          <cell r="A63" t="str">
            <v>Qatar</v>
          </cell>
          <cell r="M63">
            <v>108319876</v>
          </cell>
        </row>
        <row r="64">
          <cell r="A64" t="str">
            <v>Romania</v>
          </cell>
          <cell r="M64">
            <v>229484928</v>
          </cell>
        </row>
        <row r="65">
          <cell r="A65" t="str">
            <v>Russia</v>
          </cell>
          <cell r="M65">
            <v>138992954</v>
          </cell>
        </row>
        <row r="66">
          <cell r="A66" t="str">
            <v>Serbia</v>
          </cell>
          <cell r="M66">
            <v>132520679</v>
          </cell>
        </row>
        <row r="67">
          <cell r="A67" t="str">
            <v>Singapore</v>
          </cell>
          <cell r="M67">
            <v>164940212</v>
          </cell>
        </row>
        <row r="68">
          <cell r="A68" t="str">
            <v>Slovakia</v>
          </cell>
          <cell r="M68">
            <v>266375343</v>
          </cell>
        </row>
        <row r="69">
          <cell r="A69" t="str">
            <v>Slovenia</v>
          </cell>
          <cell r="M69">
            <v>132944538</v>
          </cell>
        </row>
        <row r="70">
          <cell r="A70" t="str">
            <v>South Africa</v>
          </cell>
          <cell r="M70">
            <v>193605849</v>
          </cell>
        </row>
        <row r="71">
          <cell r="A71" t="str">
            <v>South Korea</v>
          </cell>
          <cell r="M71">
            <v>184679033</v>
          </cell>
        </row>
        <row r="72">
          <cell r="A72" t="str">
            <v>Spain</v>
          </cell>
          <cell r="M72">
            <v>133471165</v>
          </cell>
        </row>
        <row r="73">
          <cell r="A73" t="str">
            <v>Sweden</v>
          </cell>
          <cell r="M73">
            <v>201204536</v>
          </cell>
        </row>
        <row r="74">
          <cell r="A74" t="str">
            <v>Taiwan</v>
          </cell>
          <cell r="M74">
            <v>216141420</v>
          </cell>
        </row>
        <row r="75">
          <cell r="A75" t="str">
            <v>Thailand</v>
          </cell>
          <cell r="M75">
            <v>323913440</v>
          </cell>
        </row>
        <row r="76">
          <cell r="A76" t="str">
            <v>Tunisia</v>
          </cell>
          <cell r="M76">
            <v>101402888</v>
          </cell>
        </row>
        <row r="77">
          <cell r="A77" t="str">
            <v>Turkey</v>
          </cell>
          <cell r="M77">
            <v>165770344</v>
          </cell>
        </row>
        <row r="78">
          <cell r="A78" t="str">
            <v>Ukraine</v>
          </cell>
          <cell r="M78">
            <v>139879364</v>
          </cell>
        </row>
        <row r="79">
          <cell r="A79" t="str">
            <v>United Arab Emirates</v>
          </cell>
          <cell r="M79">
            <v>146651787</v>
          </cell>
        </row>
        <row r="80">
          <cell r="A80" t="str">
            <v>United Kingdom</v>
          </cell>
          <cell r="M80">
            <v>161585137</v>
          </cell>
        </row>
        <row r="81">
          <cell r="A81" t="str">
            <v>United States</v>
          </cell>
          <cell r="M81">
            <v>173726073</v>
          </cell>
        </row>
        <row r="82">
          <cell r="A82" t="str">
            <v>Uruguay</v>
          </cell>
          <cell r="M82">
            <v>78183379</v>
          </cell>
        </row>
        <row r="83">
          <cell r="A83" t="str">
            <v>Vietnam</v>
          </cell>
          <cell r="M83">
            <v>234060771</v>
          </cell>
        </row>
        <row r="84">
          <cell r="A84" t="str">
            <v>World</v>
          </cell>
          <cell r="M84">
            <v>203430277</v>
          </cell>
        </row>
      </sheetData>
      <sheetData sheetId="28">
        <row r="1">
          <cell r="A1" t="str">
            <v>Country</v>
          </cell>
          <cell r="B1" t="str">
            <v>Total  (km)</v>
          </cell>
        </row>
        <row r="2">
          <cell r="A2" t="str">
            <v>China</v>
          </cell>
          <cell r="B2">
            <v>110000</v>
          </cell>
        </row>
        <row r="3">
          <cell r="A3" t="str">
            <v>Russia</v>
          </cell>
          <cell r="B3">
            <v>102000</v>
          </cell>
        </row>
        <row r="4">
          <cell r="A4" t="str">
            <v>Brazil</v>
          </cell>
          <cell r="B4">
            <v>50000</v>
          </cell>
        </row>
        <row r="5">
          <cell r="A5" t="str">
            <v>Vietnam</v>
          </cell>
          <cell r="B5">
            <v>47130</v>
          </cell>
        </row>
        <row r="6">
          <cell r="A6" t="str">
            <v>United States</v>
          </cell>
          <cell r="B6">
            <v>41009</v>
          </cell>
        </row>
        <row r="7">
          <cell r="A7" t="str">
            <v>Colombia</v>
          </cell>
          <cell r="B7">
            <v>24725</v>
          </cell>
        </row>
        <row r="8">
          <cell r="A8" t="str">
            <v>Indonesia</v>
          </cell>
          <cell r="B8">
            <v>21579</v>
          </cell>
        </row>
        <row r="9">
          <cell r="A9" t="str">
            <v>Congo (Democratic Republic)</v>
          </cell>
          <cell r="B9">
            <v>15000</v>
          </cell>
        </row>
        <row r="10">
          <cell r="A10" t="str">
            <v>India</v>
          </cell>
          <cell r="B10">
            <v>14500</v>
          </cell>
        </row>
        <row r="11">
          <cell r="A11" t="str">
            <v>Myanmar (Burma)</v>
          </cell>
          <cell r="B11">
            <v>12800</v>
          </cell>
        </row>
        <row r="12">
          <cell r="A12" t="str">
            <v>Argentina</v>
          </cell>
          <cell r="B12">
            <v>11000</v>
          </cell>
        </row>
        <row r="13">
          <cell r="A13" t="str">
            <v>Papua New Guinea</v>
          </cell>
          <cell r="B13">
            <v>11000</v>
          </cell>
        </row>
        <row r="14">
          <cell r="A14" t="str">
            <v>Bolivia</v>
          </cell>
          <cell r="B14">
            <v>10000</v>
          </cell>
        </row>
        <row r="15">
          <cell r="A15" t="str">
            <v>Peru</v>
          </cell>
          <cell r="B15">
            <v>8808</v>
          </cell>
        </row>
        <row r="16">
          <cell r="A16" t="str">
            <v>Nigeria</v>
          </cell>
          <cell r="B16">
            <v>8600</v>
          </cell>
        </row>
        <row r="17">
          <cell r="A17" t="str">
            <v>France</v>
          </cell>
          <cell r="B17">
            <v>8501</v>
          </cell>
        </row>
        <row r="18">
          <cell r="A18" t="str">
            <v>Bangladesh</v>
          </cell>
          <cell r="B18">
            <v>8370</v>
          </cell>
        </row>
        <row r="19">
          <cell r="A19" t="str">
            <v>Finland</v>
          </cell>
          <cell r="B19">
            <v>8000</v>
          </cell>
        </row>
        <row r="20">
          <cell r="A20" t="str">
            <v>Germany</v>
          </cell>
          <cell r="B20">
            <v>7467</v>
          </cell>
        </row>
        <row r="21">
          <cell r="A21" t="str">
            <v>Malaysia</v>
          </cell>
          <cell r="B21">
            <v>7200</v>
          </cell>
        </row>
        <row r="22">
          <cell r="A22" t="str">
            <v>Venezuela</v>
          </cell>
          <cell r="B22">
            <v>7100</v>
          </cell>
        </row>
        <row r="23">
          <cell r="A23" t="str">
            <v>Netherlands</v>
          </cell>
          <cell r="B23">
            <v>6237</v>
          </cell>
        </row>
        <row r="24">
          <cell r="A24" t="str">
            <v>Iraq</v>
          </cell>
          <cell r="B24">
            <v>5279</v>
          </cell>
        </row>
        <row r="25">
          <cell r="A25" t="str">
            <v>Laos</v>
          </cell>
          <cell r="B25">
            <v>4600</v>
          </cell>
        </row>
        <row r="26">
          <cell r="A26" t="str">
            <v>Sudan</v>
          </cell>
          <cell r="B26">
            <v>4068</v>
          </cell>
        </row>
        <row r="27">
          <cell r="A27" t="str">
            <v>Kazakhstan</v>
          </cell>
          <cell r="B27">
            <v>4000</v>
          </cell>
        </row>
        <row r="28">
          <cell r="A28" t="str">
            <v>Thailand</v>
          </cell>
          <cell r="B28">
            <v>4000</v>
          </cell>
        </row>
        <row r="29">
          <cell r="A29" t="str">
            <v>Poland</v>
          </cell>
          <cell r="B29">
            <v>3997</v>
          </cell>
        </row>
        <row r="30">
          <cell r="A30" t="str">
            <v>Cambodia</v>
          </cell>
          <cell r="B30">
            <v>3700</v>
          </cell>
        </row>
        <row r="31">
          <cell r="A31" t="str">
            <v>Egypt</v>
          </cell>
          <cell r="B31">
            <v>3500</v>
          </cell>
        </row>
        <row r="32">
          <cell r="A32" t="str">
            <v>Philippines</v>
          </cell>
          <cell r="B32">
            <v>3219</v>
          </cell>
        </row>
        <row r="33">
          <cell r="A33" t="str">
            <v>United Kingdom</v>
          </cell>
          <cell r="B33">
            <v>3200</v>
          </cell>
        </row>
        <row r="34">
          <cell r="A34" t="str">
            <v>Paraguay</v>
          </cell>
          <cell r="B34">
            <v>3100</v>
          </cell>
        </row>
        <row r="35">
          <cell r="A35" t="str">
            <v>Mexico</v>
          </cell>
          <cell r="B35">
            <v>2900</v>
          </cell>
        </row>
        <row r="36">
          <cell r="A36" t="str">
            <v>Central African Republic</v>
          </cell>
          <cell r="B36">
            <v>2800</v>
          </cell>
        </row>
        <row r="37">
          <cell r="A37" t="str">
            <v>Belarus</v>
          </cell>
          <cell r="B37">
            <v>2500</v>
          </cell>
        </row>
        <row r="38">
          <cell r="A38" t="str">
            <v>Italy</v>
          </cell>
          <cell r="B38">
            <v>2400</v>
          </cell>
        </row>
        <row r="39">
          <cell r="A39" t="str">
            <v>Korea (North)</v>
          </cell>
          <cell r="B39">
            <v>2250</v>
          </cell>
        </row>
        <row r="40">
          <cell r="A40" t="str">
            <v>Zambia</v>
          </cell>
          <cell r="B40">
            <v>2250</v>
          </cell>
        </row>
        <row r="41">
          <cell r="A41" t="str">
            <v>Nicaragua</v>
          </cell>
          <cell r="B41">
            <v>2220</v>
          </cell>
        </row>
        <row r="42">
          <cell r="A42" t="str">
            <v>Sweden</v>
          </cell>
          <cell r="B42">
            <v>2052</v>
          </cell>
        </row>
        <row r="43">
          <cell r="A43" t="str">
            <v>Belgium</v>
          </cell>
          <cell r="B43">
            <v>2043</v>
          </cell>
        </row>
        <row r="44">
          <cell r="A44" t="str">
            <v>Australia</v>
          </cell>
          <cell r="B44">
            <v>2000</v>
          </cell>
        </row>
        <row r="45">
          <cell r="A45" t="str">
            <v>Mali</v>
          </cell>
          <cell r="B45">
            <v>1800</v>
          </cell>
        </row>
        <row r="46">
          <cell r="A46" t="str">
            <v>Japan</v>
          </cell>
          <cell r="B46">
            <v>1770</v>
          </cell>
        </row>
        <row r="47">
          <cell r="A47" t="str">
            <v>Romania</v>
          </cell>
          <cell r="B47">
            <v>1731</v>
          </cell>
        </row>
        <row r="48">
          <cell r="A48" t="str">
            <v>Ukraine</v>
          </cell>
          <cell r="B48">
            <v>1672</v>
          </cell>
        </row>
        <row r="49">
          <cell r="A49" t="str">
            <v>Hungary</v>
          </cell>
          <cell r="B49">
            <v>1622</v>
          </cell>
        </row>
        <row r="50">
          <cell r="A50" t="str">
            <v>Gabon</v>
          </cell>
          <cell r="B50">
            <v>1600</v>
          </cell>
        </row>
        <row r="51">
          <cell r="A51" t="str">
            <v>South Korea</v>
          </cell>
          <cell r="B51">
            <v>1600</v>
          </cell>
        </row>
        <row r="52">
          <cell r="A52" t="str">
            <v>Uruguay</v>
          </cell>
          <cell r="B52">
            <v>1600</v>
          </cell>
        </row>
        <row r="53">
          <cell r="A53" t="str">
            <v>Norway</v>
          </cell>
          <cell r="B53">
            <v>1577</v>
          </cell>
        </row>
        <row r="54">
          <cell r="A54" t="str">
            <v>Ecuador</v>
          </cell>
          <cell r="B54">
            <v>1500</v>
          </cell>
        </row>
        <row r="55">
          <cell r="A55" t="str">
            <v>Angola</v>
          </cell>
          <cell r="B55">
            <v>1300</v>
          </cell>
        </row>
        <row r="56">
          <cell r="A56" t="str">
            <v>Guinea</v>
          </cell>
          <cell r="B56">
            <v>1300</v>
          </cell>
        </row>
        <row r="57">
          <cell r="A57" t="str">
            <v>Turkmenistan</v>
          </cell>
          <cell r="B57">
            <v>1300</v>
          </cell>
        </row>
        <row r="58">
          <cell r="A58" t="str">
            <v>Ghana</v>
          </cell>
          <cell r="B58">
            <v>1293</v>
          </cell>
        </row>
        <row r="59">
          <cell r="A59" t="str">
            <v>Switzerland</v>
          </cell>
          <cell r="B59">
            <v>1292</v>
          </cell>
        </row>
        <row r="60">
          <cell r="A60" t="str">
            <v>Afghanistan</v>
          </cell>
          <cell r="B60">
            <v>1200</v>
          </cell>
        </row>
        <row r="61">
          <cell r="A61" t="str">
            <v>Suriname</v>
          </cell>
          <cell r="B61">
            <v>1200</v>
          </cell>
        </row>
        <row r="62">
          <cell r="A62" t="str">
            <v>Turkey</v>
          </cell>
          <cell r="B62">
            <v>1200</v>
          </cell>
        </row>
        <row r="63">
          <cell r="A63" t="str">
            <v>Congo (Republic)</v>
          </cell>
          <cell r="B63">
            <v>1120</v>
          </cell>
        </row>
        <row r="64">
          <cell r="A64" t="str">
            <v>Uzbekistan</v>
          </cell>
          <cell r="B64">
            <v>1100</v>
          </cell>
        </row>
        <row r="65">
          <cell r="A65" t="str">
            <v>Senegal</v>
          </cell>
          <cell r="B65">
            <v>1000</v>
          </cell>
        </row>
        <row r="66">
          <cell r="A66" t="str">
            <v>Spain</v>
          </cell>
          <cell r="B66">
            <v>1000</v>
          </cell>
        </row>
        <row r="67">
          <cell r="A67" t="str">
            <v>Guatemala</v>
          </cell>
          <cell r="B67">
            <v>990</v>
          </cell>
        </row>
        <row r="68">
          <cell r="A68" t="str">
            <v>Côte d'Ivoire (Ivory Coast)</v>
          </cell>
          <cell r="B68">
            <v>980</v>
          </cell>
        </row>
        <row r="69">
          <cell r="A69" t="str">
            <v>Ireland</v>
          </cell>
          <cell r="B69">
            <v>956</v>
          </cell>
        </row>
        <row r="70">
          <cell r="A70" t="str">
            <v>Syria</v>
          </cell>
          <cell r="B70">
            <v>900</v>
          </cell>
        </row>
        <row r="71">
          <cell r="A71" t="str">
            <v>Iran</v>
          </cell>
          <cell r="B71">
            <v>850</v>
          </cell>
        </row>
        <row r="72">
          <cell r="A72" t="str">
            <v>Belize</v>
          </cell>
          <cell r="B72">
            <v>825</v>
          </cell>
        </row>
        <row r="73">
          <cell r="A73" t="str">
            <v>Panama</v>
          </cell>
          <cell r="B73">
            <v>800</v>
          </cell>
        </row>
        <row r="74">
          <cell r="A74" t="str">
            <v>Sierra Leone</v>
          </cell>
          <cell r="B74">
            <v>800</v>
          </cell>
        </row>
        <row r="75">
          <cell r="A75" t="str">
            <v>Croatia</v>
          </cell>
          <cell r="B75">
            <v>785</v>
          </cell>
        </row>
        <row r="76">
          <cell r="A76" t="str">
            <v>Costa Rica</v>
          </cell>
          <cell r="B76">
            <v>730</v>
          </cell>
        </row>
        <row r="77">
          <cell r="A77" t="str">
            <v>Malawi</v>
          </cell>
          <cell r="B77">
            <v>700</v>
          </cell>
        </row>
        <row r="78">
          <cell r="A78" t="str">
            <v>Czech Republic</v>
          </cell>
          <cell r="B78">
            <v>664</v>
          </cell>
        </row>
        <row r="79">
          <cell r="A79" t="str">
            <v>Canada</v>
          </cell>
          <cell r="B79">
            <v>636</v>
          </cell>
        </row>
        <row r="80">
          <cell r="A80" t="str">
            <v>Kyrgyzstan</v>
          </cell>
          <cell r="B80">
            <v>600</v>
          </cell>
        </row>
        <row r="81">
          <cell r="A81" t="str">
            <v>Madagascar</v>
          </cell>
          <cell r="B81">
            <v>600</v>
          </cell>
        </row>
        <row r="82">
          <cell r="A82" t="str">
            <v>Serbia</v>
          </cell>
          <cell r="B82">
            <v>587</v>
          </cell>
        </row>
        <row r="83">
          <cell r="A83" t="str">
            <v>Mongolia</v>
          </cell>
          <cell r="B83">
            <v>580</v>
          </cell>
        </row>
        <row r="84">
          <cell r="A84" t="str">
            <v>Moldova</v>
          </cell>
          <cell r="B84">
            <v>558</v>
          </cell>
        </row>
        <row r="85">
          <cell r="A85" t="str">
            <v>Bulgaria</v>
          </cell>
          <cell r="B85">
            <v>470</v>
          </cell>
        </row>
        <row r="86">
          <cell r="A86" t="str">
            <v>Honduras</v>
          </cell>
          <cell r="B86">
            <v>465</v>
          </cell>
        </row>
        <row r="87">
          <cell r="A87" t="str">
            <v>Mozambique</v>
          </cell>
          <cell r="B87">
            <v>460</v>
          </cell>
        </row>
        <row r="88">
          <cell r="A88" t="str">
            <v>Lithuania</v>
          </cell>
          <cell r="B88">
            <v>441</v>
          </cell>
        </row>
        <row r="89">
          <cell r="A89" t="str">
            <v>Denmark</v>
          </cell>
          <cell r="B89">
            <v>400</v>
          </cell>
        </row>
        <row r="90">
          <cell r="A90" t="str">
            <v>Gambia</v>
          </cell>
          <cell r="B90">
            <v>390</v>
          </cell>
        </row>
        <row r="91">
          <cell r="A91" t="str">
            <v>Austria</v>
          </cell>
          <cell r="B91">
            <v>358</v>
          </cell>
        </row>
        <row r="92">
          <cell r="A92" t="str">
            <v>Estonia</v>
          </cell>
          <cell r="B92">
            <v>335</v>
          </cell>
        </row>
        <row r="93">
          <cell r="A93" t="str">
            <v>Guyana</v>
          </cell>
          <cell r="B93">
            <v>330</v>
          </cell>
        </row>
        <row r="94">
          <cell r="A94" t="str">
            <v>Latvia</v>
          </cell>
          <cell r="B94">
            <v>300</v>
          </cell>
        </row>
        <row r="95">
          <cell r="A95" t="str">
            <v>Niger</v>
          </cell>
          <cell r="B95">
            <v>300</v>
          </cell>
        </row>
        <row r="96">
          <cell r="A96" t="str">
            <v>Cuba</v>
          </cell>
          <cell r="B96">
            <v>240</v>
          </cell>
        </row>
        <row r="97">
          <cell r="A97" t="str">
            <v>Portugal</v>
          </cell>
          <cell r="B97">
            <v>210</v>
          </cell>
        </row>
        <row r="98">
          <cell r="A98" t="str">
            <v>Brunei</v>
          </cell>
          <cell r="B98">
            <v>209</v>
          </cell>
        </row>
        <row r="99">
          <cell r="A99" t="str">
            <v>Fiji</v>
          </cell>
          <cell r="B99">
            <v>203</v>
          </cell>
        </row>
        <row r="100">
          <cell r="A100" t="str">
            <v>Tajikistan</v>
          </cell>
          <cell r="B100">
            <v>200</v>
          </cell>
        </row>
        <row r="101">
          <cell r="A101" t="str">
            <v>Slovakia</v>
          </cell>
          <cell r="B101">
            <v>172</v>
          </cell>
        </row>
        <row r="102">
          <cell r="A102" t="str">
            <v>Sri Lanka</v>
          </cell>
          <cell r="B102">
            <v>160</v>
          </cell>
        </row>
        <row r="103">
          <cell r="A103" t="str">
            <v>Benin</v>
          </cell>
          <cell r="B103">
            <v>150</v>
          </cell>
        </row>
        <row r="104">
          <cell r="A104" t="str">
            <v>Togo</v>
          </cell>
          <cell r="B104">
            <v>50</v>
          </cell>
        </row>
        <row r="105">
          <cell r="A105" t="str">
            <v>Albania</v>
          </cell>
          <cell r="B105">
            <v>41</v>
          </cell>
        </row>
        <row r="106">
          <cell r="A106" t="str">
            <v>Luxembourg</v>
          </cell>
          <cell r="B106">
            <v>37</v>
          </cell>
        </row>
        <row r="107">
          <cell r="A107" t="str">
            <v>Liechtenstein</v>
          </cell>
          <cell r="B107">
            <v>28</v>
          </cell>
        </row>
        <row r="108">
          <cell r="A108" t="str">
            <v>Greece</v>
          </cell>
          <cell r="B108">
            <v>6</v>
          </cell>
        </row>
        <row r="109">
          <cell r="A109" t="str">
            <v>Kiribati</v>
          </cell>
          <cell r="B109">
            <v>5</v>
          </cell>
        </row>
      </sheetData>
    </sheetDataSet>
  </externalBook>
</externalLink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1985BF-DAAB-4D2A-A721-C8CD576956ED}">
  <dimension ref="A1:P34"/>
  <sheetViews>
    <sheetView tabSelected="1" workbookViewId="0">
      <selection activeCell="G37" sqref="G37"/>
    </sheetView>
  </sheetViews>
  <sheetFormatPr baseColWidth="10" defaultRowHeight="12.5" x14ac:dyDescent="0.25"/>
  <cols>
    <col min="1" max="1" width="13.453125" bestFit="1" customWidth="1"/>
    <col min="2" max="2" width="13" bestFit="1" customWidth="1"/>
    <col min="3" max="3" width="14.90625" bestFit="1" customWidth="1"/>
    <col min="4" max="4" width="16.36328125" bestFit="1" customWidth="1"/>
    <col min="5" max="5" width="20.26953125" bestFit="1" customWidth="1"/>
    <col min="6" max="6" width="17.26953125" bestFit="1" customWidth="1"/>
    <col min="7" max="7" width="18.90625" bestFit="1" customWidth="1"/>
    <col min="8" max="8" width="23.1796875" bestFit="1" customWidth="1"/>
    <col min="9" max="9" width="16" bestFit="1" customWidth="1"/>
    <col min="10" max="10" width="23.36328125" bestFit="1" customWidth="1"/>
    <col min="11" max="11" width="9.90625" bestFit="1" customWidth="1"/>
    <col min="12" max="12" width="28" bestFit="1" customWidth="1"/>
    <col min="13" max="13" width="15.1796875" bestFit="1" customWidth="1"/>
    <col min="14" max="14" width="16.54296875" bestFit="1" customWidth="1"/>
    <col min="15" max="15" width="16.26953125" bestFit="1" customWidth="1"/>
    <col min="16" max="16" width="21.90625" bestFit="1" customWidth="1"/>
  </cols>
  <sheetData>
    <row r="1" spans="1:16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</row>
    <row r="2" spans="1:16" x14ac:dyDescent="0.25">
      <c r="A2" s="1" t="s">
        <v>16</v>
      </c>
      <c r="B2" s="2">
        <v>621581</v>
      </c>
      <c r="C2" s="3">
        <f>_xlfn.XLOOKUP(A2,[1]Population!A:A,[1]Population!B:B,"n.a.",0)</f>
        <v>345426571</v>
      </c>
      <c r="D2" s="3">
        <f>_xlfn.XLOOKUP(A2,[1]Population!A:A,[1]Population!C:C,"n.a.",0)</f>
        <v>9147420</v>
      </c>
      <c r="E2" s="3">
        <f>_xlfn.XLOOKUP(A2,[1]Population!A:A,[1]Population!E:E,"n.a.",0)</f>
        <v>283249788</v>
      </c>
      <c r="F2" s="3">
        <f>_xlfn.XLOOKUP(A2,'[1]Vehicles per country'!A:A,'[1]Vehicles per country'!B:B,"n.a.",0)</f>
        <v>305000000</v>
      </c>
      <c r="G2" s="3">
        <f>_xlfn.XLOOKUP(A2,'[1]Number of Households'!A:A,'[1]Number of Households'!B:B,"n.a.",0)</f>
        <v>132736055</v>
      </c>
      <c r="H2" s="3">
        <f>_xlfn.XLOOKUP(A2,'[1]C02 Emissionen'!A:A,'[1]C02 Emissionen'!B:B,"n.a.",0)</f>
        <v>4853780240</v>
      </c>
      <c r="I2" s="3">
        <f>_xlfn.XLOOKUP(A2,[1]Airports!A:A,[1]Airports!B:B,"n.a.",0)</f>
        <v>15873</v>
      </c>
      <c r="J2" s="3">
        <f>IFERROR(_xlfn.XLOOKUP(A2,'[1]Renewable Energy per capita'!A:A,'[1]Renewable Energy per capita'!M:M,"n.a.",0)*C2,"n.a.")</f>
        <v>6.000960168968568E+16</v>
      </c>
      <c r="K2" s="3">
        <f>_xlfn.XLOOKUP(A2,[1]Waterways!A:A,[1]Waterways!B:B,"n.a.",0)</f>
        <v>41009</v>
      </c>
      <c r="L2" s="3">
        <f>SUMIFS('[1]Road &amp; Rail Volumes &lt;24'!E:E,'[1]Road &amp; Rail Volumes &lt;24'!A:A,A2)</f>
        <v>643743.81000000006</v>
      </c>
      <c r="M2" s="3">
        <f>_xlfn.XLOOKUP(A2,'[1]Rail Network'!A:A,'[1]Rail Network'!B:B,"n.a.",0)</f>
        <v>293564.2</v>
      </c>
      <c r="N2" s="3">
        <f>_xlfn.XLOOKUP(A2,'[1]Road Network'!A:A,'[1]Road Network'!B:B,"n.a.")</f>
        <v>6586610</v>
      </c>
      <c r="O2" s="3">
        <f>SUM(M2+N2)</f>
        <v>6880174.2000000002</v>
      </c>
      <c r="P2" s="3">
        <f>SUMIFS('[1]Cement Consumption'!C:C,'[1]Cement Consumption'!A:A,A2)</f>
        <v>436.476</v>
      </c>
    </row>
    <row r="3" spans="1:16" x14ac:dyDescent="0.25">
      <c r="A3" s="1" t="s">
        <v>17</v>
      </c>
      <c r="B3" s="2">
        <v>1111153.846153846</v>
      </c>
      <c r="C3" s="3">
        <f>_xlfn.XLOOKUP(A3,[1]Population!A:A,[1]Population!B:B,"n.a.",0)</f>
        <v>1419321278</v>
      </c>
      <c r="D3" s="3">
        <f>_xlfn.XLOOKUP(A3,[1]Population!A:A,[1]Population!C:C,"n.a.",0)</f>
        <v>9388211</v>
      </c>
      <c r="E3" s="3">
        <f>_xlfn.XLOOKUP(A3,[1]Population!A:A,[1]Population!E:E,"n.a.",0)</f>
        <v>936752043</v>
      </c>
      <c r="F3" s="3">
        <f>_xlfn.XLOOKUP(A3,'[1]Vehicles per country'!A:A,'[1]Vehicles per country'!B:B,"n.a.",0)</f>
        <v>329120000</v>
      </c>
      <c r="G3" s="3">
        <f>_xlfn.XLOOKUP(A3,'[1]Number of Households'!A:A,'[1]Number of Households'!B:B,"n.a.",0)</f>
        <v>522689264</v>
      </c>
      <c r="H3" s="3">
        <f>_xlfn.XLOOKUP(A3,'[1]C02 Emissionen'!A:A,'[1]C02 Emissionen'!B:B,"n.a.",0)</f>
        <v>12667428430</v>
      </c>
      <c r="I3" s="3">
        <f>_xlfn.XLOOKUP(A3,[1]Airports!A:A,[1]Airports!B:B,"n.a.",0)</f>
        <v>531</v>
      </c>
      <c r="J3" s="3">
        <f>IFERROR(_xlfn.XLOOKUP(A3,'[1]Renewable Energy per capita'!A:A,'[1]Renewable Energy per capita'!M:M,"n.a.",0)*C3,"n.a.")</f>
        <v>4.1381142730766144E+17</v>
      </c>
      <c r="K3" s="3">
        <f>_xlfn.XLOOKUP(A3,[1]Waterways!A:A,[1]Waterways!B:B,"n.a.",0)</f>
        <v>110000</v>
      </c>
      <c r="L3" s="3">
        <f>SUMIFS('[1]Road &amp; Rail Volumes &lt;24'!E:E,'[1]Road &amp; Rail Volumes &lt;24'!A:A,A3)</f>
        <v>2267826.3899999997</v>
      </c>
      <c r="M3" s="3">
        <f>_xlfn.XLOOKUP(A3,'[1]Rail Network'!A:A,'[1]Rail Network'!B:B,"n.a.",0)</f>
        <v>150000</v>
      </c>
      <c r="N3" s="3">
        <f>_xlfn.XLOOKUP(A3,'[1]Road Network'!A:A,'[1]Road Network'!B:B,"n.a.")</f>
        <v>5200000</v>
      </c>
      <c r="O3" s="3">
        <f t="shared" ref="O3:O34" si="0">SUM(M3+N3)</f>
        <v>5350000</v>
      </c>
      <c r="P3" s="3">
        <f>SUMIFS('[1]Cement Consumption'!C:C,'[1]Cement Consumption'!A:A,A3)</f>
        <v>8517.0310000000009</v>
      </c>
    </row>
    <row r="4" spans="1:16" x14ac:dyDescent="0.25">
      <c r="A4" s="1" t="s">
        <v>18</v>
      </c>
      <c r="B4" s="2">
        <v>140000</v>
      </c>
      <c r="C4" s="3">
        <f>_xlfn.XLOOKUP(A4,[1]Population!A:A,[1]Population!B:B,"n.a.",0)</f>
        <v>84552242</v>
      </c>
      <c r="D4" s="3">
        <f>_xlfn.XLOOKUP(A4,[1]Population!A:A,[1]Population!C:C,"n.a.",0)</f>
        <v>348560</v>
      </c>
      <c r="E4" s="3">
        <f>_xlfn.XLOOKUP(A4,[1]Population!A:A,[1]Population!E:E,"n.a.",0)</f>
        <v>64259704</v>
      </c>
      <c r="F4" s="3">
        <f>_xlfn.XLOOKUP(A4,'[1]Vehicles per country'!A:A,'[1]Vehicles per country'!B:B,"n.a.",0)</f>
        <v>55200000</v>
      </c>
      <c r="G4" s="3">
        <f>_xlfn.XLOOKUP(A4,'[1]Number of Households'!A:A,'[1]Number of Households'!B:B,"n.a.",0)</f>
        <v>40624971</v>
      </c>
      <c r="H4" s="3">
        <f>_xlfn.XLOOKUP(A4,'[1]C02 Emissionen'!A:A,'[1]C02 Emissionen'!B:B,"n.a.",0)</f>
        <v>673595260</v>
      </c>
      <c r="I4" s="3">
        <f>_xlfn.XLOOKUP(A4,[1]Airports!A:A,[1]Airports!B:B,"n.a.",0)</f>
        <v>838</v>
      </c>
      <c r="J4" s="3">
        <f>IFERROR(_xlfn.XLOOKUP(A4,'[1]Renewable Energy per capita'!A:A,'[1]Renewable Energy per capita'!M:M,"n.a.",0)*C4,"n.a.")</f>
        <v>2.423912735990652E+16</v>
      </c>
      <c r="K4" s="3">
        <f>_xlfn.XLOOKUP(A4,[1]Waterways!A:A,[1]Waterways!B:B,"n.a.",0)</f>
        <v>7467</v>
      </c>
      <c r="L4" s="3">
        <f>SUMIFS('[1]Road &amp; Rail Volumes &lt;24'!E:E,'[1]Road &amp; Rail Volumes &lt;24'!A:A,A4)</f>
        <v>164556.01</v>
      </c>
      <c r="M4" s="3">
        <f>_xlfn.XLOOKUP(A4,'[1]Rail Network'!A:A,'[1]Rail Network'!B:B,"n.a.",0)</f>
        <v>40625</v>
      </c>
      <c r="N4" s="3">
        <f>_xlfn.XLOOKUP(A4,'[1]Road Network'!A:A,'[1]Road Network'!B:B,"n.a.")</f>
        <v>830000</v>
      </c>
      <c r="O4" s="3">
        <f t="shared" si="0"/>
        <v>870625</v>
      </c>
      <c r="P4" s="3">
        <f>SUMIFS('[1]Cement Consumption'!C:C,'[1]Cement Consumption'!A:A,A4)</f>
        <v>108.057</v>
      </c>
    </row>
    <row r="5" spans="1:16" x14ac:dyDescent="0.25">
      <c r="A5" s="1" t="s">
        <v>19</v>
      </c>
      <c r="B5" s="2">
        <v>107338</v>
      </c>
      <c r="C5" s="3">
        <f>_xlfn.XLOOKUP(A5,[1]Population!A:A,[1]Population!B:B,"n.a.",0)</f>
        <v>69138192</v>
      </c>
      <c r="D5" s="3">
        <f>_xlfn.XLOOKUP(A5,[1]Population!A:A,[1]Population!C:C,"n.a.",0)</f>
        <v>241930</v>
      </c>
      <c r="E5" s="3">
        <f>_xlfn.XLOOKUP(A5,[1]Population!A:A,[1]Population!E:E,"n.a.",0)</f>
        <v>58076081</v>
      </c>
      <c r="F5" s="3">
        <f>_xlfn.XLOOKUP(A5,'[1]Vehicles per country'!A:A,'[1]Vehicles per country'!B:B,"n.a.",0)</f>
        <v>38000000</v>
      </c>
      <c r="G5" s="3">
        <f>_xlfn.XLOOKUP(A5,'[1]Number of Households'!A:A,'[1]Number of Households'!B:B,"n.a.",0)</f>
        <v>29486179</v>
      </c>
      <c r="H5" s="3">
        <f>_xlfn.XLOOKUP(A5,'[1]C02 Emissionen'!A:A,'[1]C02 Emissionen'!B:B,"n.a.",0)</f>
        <v>340610260</v>
      </c>
      <c r="I5" s="3">
        <f>_xlfn.XLOOKUP(A5,[1]Airports!A:A,[1]Airports!B:B,"n.a.",0)</f>
        <v>1043</v>
      </c>
      <c r="J5" s="3">
        <f>IFERROR(_xlfn.XLOOKUP(A5,'[1]Renewable Energy per capita'!A:A,'[1]Renewable Energy per capita'!M:M,"n.a.",0)*C5,"n.a.")</f>
        <v>1.1171704226252304E+16</v>
      </c>
      <c r="K5" s="3">
        <f>_xlfn.XLOOKUP(A5,[1]Waterways!A:A,[1]Waterways!B:B,"n.a.",0)</f>
        <v>3200</v>
      </c>
      <c r="L5" s="3">
        <f>SUMIFS('[1]Road &amp; Rail Volumes &lt;24'!E:E,'[1]Road &amp; Rail Volumes &lt;24'!A:A,A5)</f>
        <v>166646.41999999998</v>
      </c>
      <c r="M5" s="3">
        <f>_xlfn.XLOOKUP(A5,'[1]Rail Network'!A:A,'[1]Rail Network'!B:B,"n.a.",0)</f>
        <v>16390</v>
      </c>
      <c r="N5" s="3">
        <f>_xlfn.XLOOKUP(A5,'[1]Road Network'!A:A,'[1]Road Network'!B:B,"n.a.")</f>
        <v>394428</v>
      </c>
      <c r="O5" s="3">
        <f t="shared" si="0"/>
        <v>410818</v>
      </c>
      <c r="P5" s="3">
        <f>SUMIFS('[1]Cement Consumption'!C:C,'[1]Cement Consumption'!A:A,A5)</f>
        <v>48.002000000000002</v>
      </c>
    </row>
    <row r="6" spans="1:16" x14ac:dyDescent="0.25">
      <c r="A6" s="1" t="s">
        <v>20</v>
      </c>
      <c r="B6" s="2">
        <v>225000</v>
      </c>
      <c r="C6" s="3">
        <f>_xlfn.XLOOKUP(A6,[1]Population!A:A,[1]Population!B:B,"n.a.",0)</f>
        <v>66548530</v>
      </c>
      <c r="D6" s="3">
        <f>_xlfn.XLOOKUP(A6,[1]Population!A:A,[1]Population!C:C,"n.a.",0)</f>
        <v>547557</v>
      </c>
      <c r="E6" s="3">
        <f>_xlfn.XLOOKUP(A6,[1]Population!A:A,[1]Population!E:E,"n.a.",0)</f>
        <v>54569795</v>
      </c>
      <c r="F6" s="3">
        <f>_xlfn.XLOOKUP(A6,'[1]Vehicles per country'!A:A,'[1]Vehicles per country'!B:B,"n.a.",0)</f>
        <v>52000000</v>
      </c>
      <c r="G6" s="3">
        <f>_xlfn.XLOOKUP(A6,'[1]Number of Households'!A:A,'[1]Number of Households'!B:B,"n.a.",0)</f>
        <v>30217950</v>
      </c>
      <c r="H6" s="3">
        <f>_xlfn.XLOOKUP(A6,'[1]C02 Emissionen'!A:A,'[1]C02 Emissionen'!B:B,"n.a.",0)</f>
        <v>315299470</v>
      </c>
      <c r="I6" s="3">
        <f>_xlfn.XLOOKUP(A6,[1]Airports!A:A,[1]Airports!B:B,"n.a.",0)</f>
        <v>689</v>
      </c>
      <c r="J6" s="3">
        <f>IFERROR(_xlfn.XLOOKUP(A6,'[1]Renewable Energy per capita'!A:A,'[1]Renewable Energy per capita'!M:M,"n.a.",0)*C6,"n.a.")</f>
        <v>1.674154827489501E+16</v>
      </c>
      <c r="K6" s="3">
        <f>_xlfn.XLOOKUP(A6,[1]Waterways!A:A,[1]Waterways!B:B,"n.a.",0)</f>
        <v>8501</v>
      </c>
      <c r="L6" s="3">
        <f>SUMIFS('[1]Road &amp; Rail Volumes &lt;24'!E:E,'[1]Road &amp; Rail Volumes &lt;24'!A:A,A6)</f>
        <v>196679.41</v>
      </c>
      <c r="M6" s="3">
        <f>_xlfn.XLOOKUP(A6,'[1]Rail Network'!A:A,'[1]Rail Network'!B:B,"n.a.",0)</f>
        <v>29273</v>
      </c>
      <c r="N6" s="3">
        <f>_xlfn.XLOOKUP(A6,'[1]Road Network'!A:A,'[1]Road Network'!B:B,"n.a.")</f>
        <v>1053215</v>
      </c>
      <c r="O6" s="3">
        <f t="shared" si="0"/>
        <v>1082488</v>
      </c>
      <c r="P6" s="3">
        <f>SUMIFS('[1]Cement Consumption'!C:C,'[1]Cement Consumption'!A:A,A6)</f>
        <v>76.685000000000002</v>
      </c>
    </row>
    <row r="7" spans="1:16" x14ac:dyDescent="0.25">
      <c r="A7" s="1" t="s">
        <v>21</v>
      </c>
      <c r="B7" s="2">
        <v>120000</v>
      </c>
      <c r="C7" s="3">
        <f>_xlfn.XLOOKUP(A7,[1]Population!A:A,[1]Population!B:B,"n.a.",0)</f>
        <v>211998573</v>
      </c>
      <c r="D7" s="3">
        <f>_xlfn.XLOOKUP(A7,[1]Population!A:A,[1]Population!C:C,"n.a.",0)</f>
        <v>8358140</v>
      </c>
      <c r="E7" s="3">
        <f>_xlfn.XLOOKUP(A7,[1]Population!A:A,[1]Population!E:E,"n.a.",0)</f>
        <v>192918701</v>
      </c>
      <c r="F7" s="3">
        <f>_xlfn.XLOOKUP(A7,'[1]Vehicles per country'!A:A,'[1]Vehicles per country'!B:B,"n.a.",0)</f>
        <v>88000000</v>
      </c>
      <c r="G7" s="3">
        <f>_xlfn.XLOOKUP(A7,'[1]Number of Households'!A:A,'[1]Number of Households'!B:B,"n.a.",0)</f>
        <v>64124398</v>
      </c>
      <c r="H7" s="3">
        <f>_xlfn.XLOOKUP(A7,'[1]C02 Emissionen'!A:A,'[1]C02 Emissionen'!B:B,"n.a.",0)</f>
        <v>466770410</v>
      </c>
      <c r="I7" s="3">
        <f>_xlfn.XLOOKUP(A7,[1]Airports!A:A,[1]Airports!B:B,"n.a.",0)</f>
        <v>4919</v>
      </c>
      <c r="J7" s="3">
        <f>IFERROR(_xlfn.XLOOKUP(A7,'[1]Renewable Energy per capita'!A:A,'[1]Renewable Energy per capita'!M:M,"n.a.",0)*C7,"n.a.")</f>
        <v>4.0133415722859744E+16</v>
      </c>
      <c r="K7" s="3">
        <f>_xlfn.XLOOKUP(A7,[1]Waterways!A:A,[1]Waterways!B:B,"n.a.",0)</f>
        <v>50000</v>
      </c>
      <c r="L7" s="3">
        <f>SUMIFS('[1]Road &amp; Rail Volumes &lt;24'!E:E,'[1]Road &amp; Rail Volumes &lt;24'!A:A,A7)</f>
        <v>91602.02</v>
      </c>
      <c r="M7" s="3">
        <f>_xlfn.XLOOKUP(A7,'[1]Rail Network'!A:A,'[1]Rail Network'!B:B,"n.a.",0)</f>
        <v>29850</v>
      </c>
      <c r="N7" s="3">
        <f>_xlfn.XLOOKUP(A7,'[1]Road Network'!A:A,'[1]Road Network'!B:B,"n.a.")</f>
        <v>2000000</v>
      </c>
      <c r="O7" s="3">
        <f t="shared" si="0"/>
        <v>2029850</v>
      </c>
      <c r="P7" s="3">
        <f>SUMIFS('[1]Cement Consumption'!C:C,'[1]Cement Consumption'!A:A,A7)</f>
        <v>252.63400000000001</v>
      </c>
    </row>
    <row r="8" spans="1:16" x14ac:dyDescent="0.25">
      <c r="A8" s="1" t="s">
        <v>22</v>
      </c>
      <c r="B8" s="2">
        <v>60021</v>
      </c>
      <c r="C8" s="3">
        <f>_xlfn.XLOOKUP(A8,[1]Population!A:A,[1]Population!B:B,"n.a.",0)</f>
        <v>39742430</v>
      </c>
      <c r="D8" s="3">
        <f>_xlfn.XLOOKUP(A8,[1]Population!A:A,[1]Population!C:C,"n.a.",0)</f>
        <v>9093510</v>
      </c>
      <c r="E8" s="3">
        <f>_xlfn.XLOOKUP(A8,[1]Population!A:A,[1]Population!E:E,"n.a.",0)</f>
        <v>31793944</v>
      </c>
      <c r="F8" s="3">
        <f>_xlfn.XLOOKUP(A8,'[1]Vehicles per country'!A:A,'[1]Vehicles per country'!B:B,"n.a.",0)</f>
        <v>34000000</v>
      </c>
      <c r="G8" s="3">
        <f>_xlfn.XLOOKUP(A8,'[1]Number of Households'!A:A,'[1]Number of Households'!B:B,"n.a.",0)</f>
        <v>15618491</v>
      </c>
      <c r="H8" s="3">
        <f>_xlfn.XLOOKUP(A8,'[1]C02 Emissionen'!A:A,'[1]C02 Emissionen'!B:B,"n.a.",0)</f>
        <v>582072950</v>
      </c>
      <c r="I8" s="3">
        <f>_xlfn.XLOOKUP(A8,[1]Airports!A:A,[1]Airports!B:B,"n.a.",0)</f>
        <v>1425</v>
      </c>
      <c r="J8" s="3">
        <f>IFERROR(_xlfn.XLOOKUP(A8,'[1]Renewable Energy per capita'!A:A,'[1]Renewable Energy per capita'!M:M,"n.a.",0)*C8,"n.a.")</f>
        <v>7871455831188950</v>
      </c>
      <c r="K8" s="3">
        <f>_xlfn.XLOOKUP(A8,[1]Waterways!A:A,[1]Waterways!B:B,"n.a.",0)</f>
        <v>636</v>
      </c>
      <c r="L8" s="3">
        <f>SUMIFS('[1]Road &amp; Rail Volumes &lt;24'!E:E,'[1]Road &amp; Rail Volumes &lt;24'!A:A,A8)</f>
        <v>72341.81</v>
      </c>
      <c r="M8" s="3">
        <f>_xlfn.XLOOKUP(A8,'[1]Rail Network'!A:A,'[1]Rail Network'!B:B,"n.a.",0)</f>
        <v>49422</v>
      </c>
      <c r="N8" s="3">
        <f>_xlfn.XLOOKUP(A8,'[1]Road Network'!A:A,'[1]Road Network'!B:B,"n.a.")</f>
        <v>1042300</v>
      </c>
      <c r="O8" s="3">
        <f t="shared" si="0"/>
        <v>1091722</v>
      </c>
      <c r="P8" s="3">
        <f>SUMIFS('[1]Cement Consumption'!C:C,'[1]Cement Consumption'!A:A,A8)</f>
        <v>42.861999999999995</v>
      </c>
    </row>
    <row r="9" spans="1:16" x14ac:dyDescent="0.25">
      <c r="A9" s="1" t="s">
        <v>23</v>
      </c>
      <c r="B9" s="2">
        <v>72500</v>
      </c>
      <c r="C9" s="3">
        <f>_xlfn.XLOOKUP(A9,[1]Population!A:A,[1]Population!B:B,"n.a.",0)</f>
        <v>144820423</v>
      </c>
      <c r="D9" s="3">
        <f>_xlfn.XLOOKUP(A9,[1]Population!A:A,[1]Population!C:C,"n.a.",0)</f>
        <v>16376870</v>
      </c>
      <c r="E9" s="3">
        <f>_xlfn.XLOOKUP(A9,[1]Population!A:A,[1]Population!E:E,"n.a.",0)</f>
        <v>108615317</v>
      </c>
      <c r="F9" s="3">
        <f>_xlfn.XLOOKUP(A9,'[1]Vehicles per country'!A:A,'[1]Vehicles per country'!B:B,"n.a.",0)</f>
        <v>53000000</v>
      </c>
      <c r="G9" s="3">
        <f>_xlfn.XLOOKUP(A9,'[1]Number of Households'!A:A,'[1]Number of Households'!B:B,"n.a.",0)</f>
        <v>56771478</v>
      </c>
      <c r="H9" s="3">
        <f>_xlfn.XLOOKUP(A9,'[1]C02 Emissionen'!A:A,'[1]C02 Emissionen'!B:B,"n.a.",0)</f>
        <v>1909039310</v>
      </c>
      <c r="I9" s="3">
        <f>_xlfn.XLOOKUP(A9,[1]Airports!A:A,[1]Airports!B:B,"n.a.",0)</f>
        <v>904</v>
      </c>
      <c r="J9" s="3">
        <f>IFERROR(_xlfn.XLOOKUP(A9,'[1]Renewable Energy per capita'!A:A,'[1]Renewable Energy per capita'!M:M,"n.a.",0)*C9,"n.a.")</f>
        <v>2.0129018392299544E+16</v>
      </c>
      <c r="K9" s="3">
        <f>_xlfn.XLOOKUP(A9,[1]Waterways!A:A,[1]Waterways!B:B,"n.a.",0)</f>
        <v>102000</v>
      </c>
      <c r="L9" s="3">
        <f>SUMIFS('[1]Road &amp; Rail Volumes &lt;24'!E:E,'[1]Road &amp; Rail Volumes &lt;24'!A:A,A9)</f>
        <v>189995.56</v>
      </c>
      <c r="M9" s="3">
        <f>_xlfn.XLOOKUP(A9,'[1]Rail Network'!A:A,'[1]Rail Network'!B:B,"n.a.",0)</f>
        <v>105000</v>
      </c>
      <c r="N9" s="3">
        <f>_xlfn.XLOOKUP(A9,'[1]Road Network'!A:A,'[1]Road Network'!B:B,"n.a.")</f>
        <v>1283387</v>
      </c>
      <c r="O9" s="3">
        <f t="shared" si="0"/>
        <v>1388387</v>
      </c>
      <c r="P9" s="3">
        <f>SUMIFS('[1]Cement Consumption'!C:C,'[1]Cement Consumption'!A:A,A9)</f>
        <v>249.77199999999999</v>
      </c>
    </row>
    <row r="10" spans="1:16" x14ac:dyDescent="0.25">
      <c r="A10" s="1" t="s">
        <v>24</v>
      </c>
      <c r="B10" s="2">
        <v>9798</v>
      </c>
      <c r="C10" s="3">
        <f>_xlfn.XLOOKUP(A10,[1]Population!A:A,[1]Population!B:B,"n.a.",0)</f>
        <v>130861007</v>
      </c>
      <c r="D10" s="3">
        <f>_xlfn.XLOOKUP(A10,[1]Population!A:A,[1]Population!C:C,"n.a.",0)</f>
        <v>1943950</v>
      </c>
      <c r="E10" s="3">
        <f>_xlfn.XLOOKUP(A10,[1]Population!A:A,[1]Population!E:E,"n.a.",0)</f>
        <v>113849076</v>
      </c>
      <c r="F10" s="3">
        <f>_xlfn.XLOOKUP(A10,'[1]Vehicles per country'!A:A,'[1]Vehicles per country'!B:B,"n.a.",0)</f>
        <v>49000000</v>
      </c>
      <c r="G10" s="3">
        <f>_xlfn.XLOOKUP(A10,'[1]Number of Households'!A:A,'[1]Number of Households'!B:B,"n.a.",0)</f>
        <v>34167462</v>
      </c>
      <c r="H10" s="3">
        <f>_xlfn.XLOOKUP(A10,'[1]C02 Emissionen'!A:A,'[1]C02 Emissionen'!B:B,"n.a.",0)</f>
        <v>487774010</v>
      </c>
      <c r="I10" s="3">
        <f>_xlfn.XLOOKUP(A10,[1]Airports!A:A,[1]Airports!B:B,"n.a.",0)</f>
        <v>1485</v>
      </c>
      <c r="J10" s="3">
        <f>IFERROR(_xlfn.XLOOKUP(A10,'[1]Renewable Energy per capita'!A:A,'[1]Renewable Energy per capita'!M:M,"n.a.",0)*C10,"n.a.")</f>
        <v>2.3271570997004856E+16</v>
      </c>
      <c r="K10" s="3">
        <f>_xlfn.XLOOKUP(A10,[1]Waterways!A:A,[1]Waterways!B:B,"n.a.",0)</f>
        <v>2900</v>
      </c>
      <c r="L10" s="3">
        <f>SUMIFS('[1]Road &amp; Rail Volumes &lt;24'!E:E,'[1]Road &amp; Rail Volumes &lt;24'!A:A,A10)</f>
        <v>77234.590000000011</v>
      </c>
      <c r="M10" s="3">
        <f>_xlfn.XLOOKUP(A10,'[1]Rail Network'!A:A,'[1]Rail Network'!B:B,"n.a.",0)</f>
        <v>23389</v>
      </c>
      <c r="N10" s="3">
        <f>_xlfn.XLOOKUP(A10,'[1]Road Network'!A:A,'[1]Road Network'!B:B,"n.a.")</f>
        <v>704884</v>
      </c>
      <c r="O10" s="3">
        <f t="shared" si="0"/>
        <v>728273</v>
      </c>
      <c r="P10" s="3">
        <f>SUMIFS('[1]Cement Consumption'!C:C,'[1]Cement Consumption'!A:A,A10)</f>
        <v>172.59</v>
      </c>
    </row>
    <row r="11" spans="1:16" x14ac:dyDescent="0.25">
      <c r="A11" s="1" t="s">
        <v>25</v>
      </c>
      <c r="B11" s="2">
        <v>41357</v>
      </c>
      <c r="C11" s="3">
        <f>_xlfn.XLOOKUP(A11,[1]Population!A:A,[1]Population!B:B,"n.a.",0)</f>
        <v>51717590</v>
      </c>
      <c r="D11" s="3">
        <f>_xlfn.XLOOKUP(A11,[1]Population!A:A,[1]Population!C:C,"n.a.",0)</f>
        <v>97230</v>
      </c>
      <c r="E11" s="3">
        <f>_xlfn.XLOOKUP(A11,[1]Population!A:A,[1]Population!E:E,"n.a.",0)</f>
        <v>42408424</v>
      </c>
      <c r="F11" s="3">
        <f>_xlfn.XLOOKUP(A11,'[1]Vehicles per country'!A:A,'[1]Vehicles per country'!B:B,"n.a.",0)</f>
        <v>26000000</v>
      </c>
      <c r="G11" s="3">
        <f>_xlfn.XLOOKUP(A11,'[1]Number of Households'!A:A,'[1]Number of Households'!B:B,"n.a.",0)</f>
        <v>23650555</v>
      </c>
      <c r="H11" s="3">
        <f>_xlfn.XLOOKUP(A11,'[1]C02 Emissionen'!A:A,'[1]C02 Emissionen'!B:B,"n.a.",0)</f>
        <v>635502970</v>
      </c>
      <c r="I11" s="3"/>
      <c r="J11" s="3">
        <f>IFERROR(_xlfn.XLOOKUP(A11,'[1]Renewable Energy per capita'!A:A,'[1]Renewable Energy per capita'!M:M,"n.a.",0)*C11,"n.a.")</f>
        <v>9551154510290470</v>
      </c>
      <c r="K11" s="3">
        <f>_xlfn.XLOOKUP(A11,[1]Waterways!A:A,[1]Waterways!B:B,"n.a.",0)</f>
        <v>1600</v>
      </c>
      <c r="L11" s="3">
        <f>SUMIFS('[1]Road &amp; Rail Volumes &lt;24'!E:E,'[1]Road &amp; Rail Volumes &lt;24'!A:A,A11)</f>
        <v>70532.069999999992</v>
      </c>
      <c r="M11" s="3">
        <f>_xlfn.XLOOKUP(A11,'[1]Rail Network'!A:A,'[1]Rail Network'!B:B,"n.a.",0)</f>
        <v>4837</v>
      </c>
      <c r="N11" s="3">
        <f>_xlfn.XLOOKUP(A11,'[1]Road Network'!A:A,'[1]Road Network'!B:B,"n.a.")</f>
        <v>100428</v>
      </c>
      <c r="O11" s="3">
        <f t="shared" si="0"/>
        <v>105265</v>
      </c>
      <c r="P11" s="3">
        <f>SUMIFS('[1]Cement Consumption'!C:C,'[1]Cement Consumption'!A:A,A11)</f>
        <v>197.852</v>
      </c>
    </row>
    <row r="12" spans="1:16" x14ac:dyDescent="0.25">
      <c r="A12" s="1" t="s">
        <v>26</v>
      </c>
      <c r="B12" s="2">
        <v>62840</v>
      </c>
      <c r="C12" s="3">
        <f>_xlfn.XLOOKUP(A12,[1]Population!A:A,[1]Population!B:B,"n.a.",0)</f>
        <v>26713205</v>
      </c>
      <c r="D12" s="3">
        <f>_xlfn.XLOOKUP(A12,[1]Population!A:A,[1]Population!C:C,"n.a.",0)</f>
        <v>7682300</v>
      </c>
      <c r="E12" s="3">
        <f>_xlfn.XLOOKUP(A12,[1]Population!A:A,[1]Population!E:E,"n.a.",0)</f>
        <v>22973356</v>
      </c>
      <c r="F12" s="3">
        <f>_xlfn.XLOOKUP(A12,'[1]Vehicles per country'!A:A,'[1]Vehicles per country'!B:B,"n.a.",0)</f>
        <v>24000000</v>
      </c>
      <c r="G12" s="3">
        <f>_xlfn.XLOOKUP(A12,'[1]Number of Households'!A:A,'[1]Number of Households'!B:B,"n.a.",0)</f>
        <v>10220186</v>
      </c>
      <c r="H12" s="3">
        <f>_xlfn.XLOOKUP(A12,'[1]C02 Emissionen'!A:A,'[1]C02 Emissionen'!B:B,"n.a.",0)</f>
        <v>393162550</v>
      </c>
      <c r="I12" s="3">
        <f>_xlfn.XLOOKUP(A12,[1]Airports!A:A,[1]Airports!B:B,"n.a.",0)</f>
        <v>2180</v>
      </c>
      <c r="J12" s="3">
        <f>IFERROR(_xlfn.XLOOKUP(A12,'[1]Renewable Energy per capita'!A:A,'[1]Renewable Energy per capita'!M:M,"n.a.",0)*C12,"n.a.")</f>
        <v>3850225285584755</v>
      </c>
      <c r="K12" s="3">
        <f>_xlfn.XLOOKUP(A12,[1]Waterways!A:A,[1]Waterways!B:B,"n.a.",0)</f>
        <v>2000</v>
      </c>
      <c r="L12" s="3">
        <f>SUMIFS('[1]Road &amp; Rail Volumes &lt;24'!E:E,'[1]Road &amp; Rail Volumes &lt;24'!A:A,A12)</f>
        <v>87936.03</v>
      </c>
      <c r="M12" s="3">
        <f>_xlfn.XLOOKUP(A12,'[1]Rail Network'!A:A,'[1]Rail Network'!B:B,"n.a.",0)</f>
        <v>36064</v>
      </c>
      <c r="N12" s="3">
        <f>_xlfn.XLOOKUP(A12,'[1]Road Network'!A:A,'[1]Road Network'!B:B,"n.a.")</f>
        <v>873573</v>
      </c>
      <c r="O12" s="3">
        <f t="shared" si="0"/>
        <v>909637</v>
      </c>
      <c r="P12" s="3">
        <f>SUMIFS('[1]Cement Consumption'!C:C,'[1]Cement Consumption'!A:A,A12)</f>
        <v>45.624999999999993</v>
      </c>
    </row>
    <row r="13" spans="1:16" x14ac:dyDescent="0.25">
      <c r="A13" s="1" t="s">
        <v>27</v>
      </c>
      <c r="B13" s="2">
        <v>23010</v>
      </c>
      <c r="C13" s="3">
        <f>_xlfn.XLOOKUP(A13,[1]Population!A:A,[1]Population!B:B,"n.a.",0)</f>
        <v>47910526</v>
      </c>
      <c r="D13" s="3">
        <f>_xlfn.XLOOKUP(A13,[1]Population!A:A,[1]Population!C:C,"n.a.",0)</f>
        <v>498800</v>
      </c>
      <c r="E13" s="3">
        <f>_xlfn.XLOOKUP(A13,[1]Population!A:A,[1]Population!E:E,"n.a.",0)</f>
        <v>37849316</v>
      </c>
      <c r="F13" s="3">
        <f>_xlfn.XLOOKUP(A13,'[1]Vehicles per country'!A:A,'[1]Vehicles per country'!B:B,"n.a.",0)</f>
        <v>29707581</v>
      </c>
      <c r="G13" s="3">
        <f>_xlfn.XLOOKUP(A13,'[1]Number of Households'!A:A,'[1]Number of Households'!B:B,"n.a.",0)</f>
        <v>17565288</v>
      </c>
      <c r="H13" s="3">
        <f>_xlfn.XLOOKUP(A13,'[1]C02 Emissionen'!A:A,'[1]C02 Emissionen'!B:B,"n.a.",0)</f>
        <v>254363430</v>
      </c>
      <c r="I13" s="3">
        <f>_xlfn.XLOOKUP(A13,[1]Airports!A:A,[1]Airports!B:B,"n.a.",0)</f>
        <v>363</v>
      </c>
      <c r="J13" s="3">
        <f>IFERROR(_xlfn.XLOOKUP(A13,'[1]Renewable Energy per capita'!A:A,'[1]Renewable Energy per capita'!M:M,"n.a.",0)*C13,"n.a.")</f>
        <v>6394673720982790</v>
      </c>
      <c r="K13" s="3">
        <f>_xlfn.XLOOKUP(A13,[1]Waterways!A:A,[1]Waterways!B:B,"n.a.",0)</f>
        <v>1000</v>
      </c>
      <c r="L13" s="3">
        <f>SUMIFS('[1]Road &amp; Rail Volumes &lt;24'!E:E,'[1]Road &amp; Rail Volumes &lt;24'!A:A,A13)</f>
        <v>132156.04</v>
      </c>
      <c r="M13" s="3">
        <f>_xlfn.XLOOKUP(A13,'[1]Rail Network'!A:A,'[1]Rail Network'!B:B,"n.a.",0)</f>
        <v>15489</v>
      </c>
      <c r="N13" s="3">
        <f>_xlfn.XLOOKUP(A13,'[1]Road Network'!A:A,'[1]Road Network'!B:B,"n.a.")</f>
        <v>683175</v>
      </c>
      <c r="O13" s="3">
        <f t="shared" si="0"/>
        <v>698664</v>
      </c>
      <c r="P13" s="3">
        <f>SUMIFS('[1]Cement Consumption'!C:C,'[1]Cement Consumption'!A:A,A13)</f>
        <v>61.07</v>
      </c>
    </row>
    <row r="14" spans="1:16" x14ac:dyDescent="0.25">
      <c r="A14" s="1" t="s">
        <v>28</v>
      </c>
      <c r="B14" s="2">
        <v>102300</v>
      </c>
      <c r="C14" s="3">
        <f>_xlfn.XLOOKUP(A14,[1]Population!A:A,[1]Population!B:B,"n.a.",0)</f>
        <v>283487931</v>
      </c>
      <c r="D14" s="3">
        <f>_xlfn.XLOOKUP(A14,[1]Population!A:A,[1]Population!C:C,"n.a.",0)</f>
        <v>1811570</v>
      </c>
      <c r="E14" s="3">
        <f>_xlfn.XLOOKUP(A14,[1]Population!A:A,[1]Population!E:E,"n.a.",0)</f>
        <v>167257879</v>
      </c>
      <c r="F14" s="3">
        <f>_xlfn.XLOOKUP(A14,'[1]Vehicles per country'!A:A,'[1]Vehicles per country'!B:B,"n.a.",0)</f>
        <v>22500000</v>
      </c>
      <c r="G14" s="3">
        <f>_xlfn.XLOOKUP(A14,'[1]Number of Households'!A:A,'[1]Number of Households'!B:B,"n.a.",0)</f>
        <v>69855344</v>
      </c>
      <c r="H14" s="3">
        <f>_xlfn.XLOOKUP(A14,'[1]C02 Emissionen'!A:A,'[1]C02 Emissionen'!B:B,"n.a.",0)</f>
        <v>692236110</v>
      </c>
      <c r="I14" s="3">
        <f>_xlfn.XLOOKUP(A14,[1]Airports!A:A,[1]Airports!B:B,"n.a.",0)</f>
        <v>513</v>
      </c>
      <c r="J14" s="3">
        <f>IFERROR(_xlfn.XLOOKUP(A14,'[1]Renewable Energy per capita'!A:A,'[1]Renewable Energy per capita'!M:M,"n.a.",0)*C14,"n.a.")</f>
        <v>4.9779468915174264E+16</v>
      </c>
      <c r="K14" s="3">
        <f>_xlfn.XLOOKUP(A14,[1]Waterways!A:A,[1]Waterways!B:B,"n.a.",0)</f>
        <v>21579</v>
      </c>
      <c r="L14" s="3">
        <f>SUMIFS('[1]Road &amp; Rail Volumes &lt;24'!E:E,'[1]Road &amp; Rail Volumes &lt;24'!A:A,A14)</f>
        <v>273058.84000000003</v>
      </c>
      <c r="M14" s="3">
        <f>_xlfn.XLOOKUP(A14,'[1]Rail Network'!A:A,'[1]Rail Network'!B:B,"n.a.",0)</f>
        <v>8159</v>
      </c>
      <c r="N14" s="3">
        <f>_xlfn.XLOOKUP(A14,'[1]Road Network'!A:A,'[1]Road Network'!B:B,"n.a.")</f>
        <v>496607</v>
      </c>
      <c r="O14" s="3">
        <f t="shared" si="0"/>
        <v>504766</v>
      </c>
      <c r="P14" s="3">
        <f>SUMIFS('[1]Cement Consumption'!C:C,'[1]Cement Consumption'!A:A,A14)</f>
        <v>257.70600000000002</v>
      </c>
    </row>
    <row r="15" spans="1:16" x14ac:dyDescent="0.25">
      <c r="A15" s="1" t="s">
        <v>29</v>
      </c>
      <c r="B15" s="2">
        <v>85000</v>
      </c>
      <c r="C15" s="3">
        <f>_xlfn.XLOOKUP(A15,[1]Population!A:A,[1]Population!B:B,"n.a.",0)</f>
        <v>18228742</v>
      </c>
      <c r="D15" s="3">
        <f>_xlfn.XLOOKUP(A15,[1]Population!A:A,[1]Population!C:C,"n.a.",0)</f>
        <v>33720</v>
      </c>
      <c r="E15" s="3">
        <f>_xlfn.XLOOKUP(A15,[1]Population!A:A,[1]Population!E:E,"n.a.",0)</f>
        <v>16223580</v>
      </c>
      <c r="F15" s="3">
        <f>_xlfn.XLOOKUP(A15,'[1]Vehicles per country'!A:A,'[1]Vehicles per country'!B:B,"n.a.",0)</f>
        <v>12300000</v>
      </c>
      <c r="G15" s="3">
        <f>_xlfn.XLOOKUP(A15,'[1]Number of Households'!A:A,'[1]Number of Households'!B:B,"n.a.",0)</f>
        <v>7874258</v>
      </c>
      <c r="H15" s="3">
        <f>_xlfn.XLOOKUP(A15,'[1]C02 Emissionen'!A:A,'[1]C02 Emissionen'!B:B,"n.a.",0)</f>
        <v>134663630</v>
      </c>
      <c r="I15" s="3">
        <f>_xlfn.XLOOKUP(A15,[1]Airports!A:A,[1]Airports!B:B,"n.a.",0)</f>
        <v>45</v>
      </c>
      <c r="J15" s="3">
        <f>IFERROR(_xlfn.XLOOKUP(A15,'[1]Renewable Energy per capita'!A:A,'[1]Renewable Energy per capita'!M:M,"n.a.",0)*C15,"n.a.")</f>
        <v>3095461086979394</v>
      </c>
      <c r="K15" s="3">
        <f>_xlfn.XLOOKUP(A15,[1]Waterways!A:A,[1]Waterways!B:B,"n.a.",0)</f>
        <v>6237</v>
      </c>
      <c r="L15" s="3">
        <f>SUMIFS('[1]Road &amp; Rail Volumes &lt;24'!E:E,'[1]Road &amp; Rail Volumes &lt;24'!A:A,A15)</f>
        <v>57646.48000000001</v>
      </c>
      <c r="M15" s="3">
        <f>_xlfn.XLOOKUP(A15,'[1]Rail Network'!A:A,'[1]Rail Network'!B:B,"n.a.",0)</f>
        <v>3055</v>
      </c>
      <c r="N15" s="3">
        <f>_xlfn.XLOOKUP(A15,'[1]Road Network'!A:A,'[1]Road Network'!B:B,"n.a.")</f>
        <v>139124</v>
      </c>
      <c r="O15" s="3">
        <f t="shared" si="0"/>
        <v>142179</v>
      </c>
      <c r="P15" s="3">
        <f>SUMIFS('[1]Cement Consumption'!C:C,'[1]Cement Consumption'!A:A,A15)</f>
        <v>20.651999999999997</v>
      </c>
    </row>
    <row r="16" spans="1:16" x14ac:dyDescent="0.25">
      <c r="A16" s="1" t="s">
        <v>30</v>
      </c>
      <c r="B16" s="2">
        <v>40000</v>
      </c>
      <c r="C16" s="3">
        <f>_xlfn.XLOOKUP(A16,[1]Population!A:A,[1]Population!B:B,"n.a.",0)</f>
        <v>8921981</v>
      </c>
      <c r="D16" s="3">
        <f>_xlfn.XLOOKUP(A16,[1]Population!A:A,[1]Population!C:C,"n.a.",0)</f>
        <v>39516</v>
      </c>
      <c r="E16" s="3">
        <f>_xlfn.XLOOKUP(A16,[1]Population!A:A,[1]Population!E:E,"n.a.",0)</f>
        <v>6602266</v>
      </c>
      <c r="F16" s="3">
        <f>_xlfn.XLOOKUP(A16,'[1]Vehicles per country'!A:A,'[1]Vehicles per country'!B:B,"n.a.",0)</f>
        <v>5215771</v>
      </c>
      <c r="G16" s="3">
        <f>_xlfn.XLOOKUP(A16,'[1]Number of Households'!A:A,'[1]Number of Households'!B:B,"n.a.",0)</f>
        <v>3901112</v>
      </c>
      <c r="H16" s="3">
        <f>_xlfn.XLOOKUP(A16,'[1]C02 Emissionen'!A:A,'[1]C02 Emissionen'!B:B,"n.a.",0)</f>
        <v>36105180</v>
      </c>
      <c r="I16" s="3">
        <f>_xlfn.XLOOKUP(A16,[1]Airports!A:A,[1]Airports!B:B,"n.a.",0)</f>
        <v>62</v>
      </c>
      <c r="J16" s="3"/>
      <c r="K16" s="3">
        <f>_xlfn.XLOOKUP(A16,[1]Waterways!A:A,[1]Waterways!B:B,"n.a.",0)</f>
        <v>1292</v>
      </c>
      <c r="L16" s="3">
        <f>SUMIFS('[1]Road &amp; Rail Volumes &lt;24'!E:E,'[1]Road &amp; Rail Volumes &lt;24'!A:A,A16)</f>
        <v>44972.130000000005</v>
      </c>
      <c r="M16" s="3">
        <f>_xlfn.XLOOKUP(A16,'[1]Rail Network'!A:A,'[1]Rail Network'!B:B,"n.a.",0)</f>
        <v>5317</v>
      </c>
      <c r="N16" s="3">
        <f>_xlfn.XLOOKUP(A16,'[1]Road Network'!A:A,'[1]Road Network'!B:B,"n.a.")</f>
        <v>71557</v>
      </c>
      <c r="O16" s="3">
        <f t="shared" si="0"/>
        <v>76874</v>
      </c>
      <c r="P16" s="3">
        <f>SUMIFS('[1]Cement Consumption'!C:C,'[1]Cement Consumption'!A:A,A16)</f>
        <v>17.866</v>
      </c>
    </row>
    <row r="17" spans="1:16" x14ac:dyDescent="0.25">
      <c r="A17" s="1" t="s">
        <v>31</v>
      </c>
      <c r="B17" s="2">
        <v>28000</v>
      </c>
      <c r="C17" s="3">
        <f>_xlfn.XLOOKUP(A17,[1]Population!A:A,[1]Population!B:B,"n.a.",0)</f>
        <v>23213962</v>
      </c>
      <c r="D17" s="3">
        <f>_xlfn.XLOOKUP(A17,[1]Population!A:A,[1]Population!C:C,"n.a.",0)</f>
        <v>35410</v>
      </c>
      <c r="E17" s="3">
        <f>_xlfn.XLOOKUP(A17,[1]Population!A:A,[1]Population!E:E,"n.a.",0)</f>
        <v>19267588</v>
      </c>
      <c r="F17" s="3">
        <f>_xlfn.XLOOKUP(A17,'[1]Vehicles per country'!A:A,'[1]Vehicles per country'!B:B,"n.a.",0)</f>
        <v>8536705</v>
      </c>
      <c r="G17" s="3"/>
      <c r="H17" s="3">
        <f>_xlfn.XLOOKUP(A17,'[1]C02 Emissionen'!A:A,'[1]C02 Emissionen'!B:B,"n.a.",0)</f>
        <v>275573980</v>
      </c>
      <c r="I17" s="3">
        <f>_xlfn.XLOOKUP(A17,[1]Airports!A:A,[1]Airports!B:B,"n.a.",0)</f>
        <v>53</v>
      </c>
      <c r="J17" s="3">
        <f>IFERROR(_xlfn.XLOOKUP(A17,'[1]Renewable Energy per capita'!A:A,'[1]Renewable Energy per capita'!M:M,"n.a.",0)*C17,"n.a.")</f>
        <v>5017498710506040</v>
      </c>
      <c r="K17" s="3"/>
      <c r="L17" s="3">
        <f>SUMIFS('[1]Road &amp; Rail Volumes &lt;24'!E:E,'[1]Road &amp; Rail Volumes &lt;24'!A:A,A17)</f>
        <v>46296.44999999999</v>
      </c>
      <c r="M17" s="3">
        <f>_xlfn.XLOOKUP(A17,'[1]Rail Network'!A:A,'[1]Rail Network'!B:B,"n.a.",0)</f>
        <v>1782</v>
      </c>
      <c r="N17" s="3">
        <f>_xlfn.XLOOKUP(A17,'[1]Road Network'!A:A,'[1]Road Network'!B:B,"n.a.")</f>
        <v>43206</v>
      </c>
      <c r="O17" s="3">
        <f t="shared" si="0"/>
        <v>44988</v>
      </c>
      <c r="P17" s="3">
        <f>SUMIFS('[1]Cement Consumption'!C:C,'[1]Cement Consumption'!A:A,A17)</f>
        <v>41.800000000000004</v>
      </c>
    </row>
    <row r="18" spans="1:16" x14ac:dyDescent="0.25">
      <c r="A18" s="1" t="s">
        <v>32</v>
      </c>
      <c r="B18" s="2">
        <v>15547</v>
      </c>
      <c r="C18" s="3">
        <f>_xlfn.XLOOKUP(A18,[1]Population!A:A,[1]Population!B:B,"n.a.",0)</f>
        <v>11738763</v>
      </c>
      <c r="D18" s="3">
        <f>_xlfn.XLOOKUP(A18,[1]Population!A:A,[1]Population!C:C,"n.a.",0)</f>
        <v>30280</v>
      </c>
      <c r="E18" s="3">
        <f>_xlfn.XLOOKUP(A18,[1]Population!A:A,[1]Population!E:E,"n.a.",0)</f>
        <v>11621375</v>
      </c>
      <c r="F18" s="3">
        <f>_xlfn.XLOOKUP(A18,'[1]Vehicles per country'!A:A,'[1]Vehicles per country'!B:B,"n.a.",0)</f>
        <v>8000000</v>
      </c>
      <c r="G18" s="3">
        <f>_xlfn.XLOOKUP(A18,'[1]Number of Households'!A:A,'[1]Number of Households'!B:B,"n.a.",0)</f>
        <v>4883743</v>
      </c>
      <c r="H18" s="3">
        <f>_xlfn.XLOOKUP(A18,'[1]C02 Emissionen'!A:A,'[1]C02 Emissionen'!B:B,"n.a.",0)</f>
        <v>90414850</v>
      </c>
      <c r="I18" s="3">
        <f>_xlfn.XLOOKUP(A18,[1]Airports!A:A,[1]Airports!B:B,"n.a.",0)</f>
        <v>49</v>
      </c>
      <c r="J18" s="3">
        <f>IFERROR(_xlfn.XLOOKUP(A18,'[1]Renewable Energy per capita'!A:A,'[1]Renewable Energy per capita'!M:M,"n.a.",0)*C18,"n.a.")</f>
        <v>2160101876260194</v>
      </c>
      <c r="K18" s="3">
        <f>_xlfn.XLOOKUP(A18,[1]Waterways!A:A,[1]Waterways!B:B,"n.a.",0)</f>
        <v>2043</v>
      </c>
      <c r="L18" s="3">
        <f>SUMIFS('[1]Road &amp; Rail Volumes &lt;24'!E:E,'[1]Road &amp; Rail Volumes &lt;24'!A:A,A18)</f>
        <v>35631.89</v>
      </c>
      <c r="M18" s="3">
        <f>_xlfn.XLOOKUP(A18,'[1]Rail Network'!A:A,'[1]Rail Network'!B:B,"n.a.",0)</f>
        <v>3607</v>
      </c>
      <c r="N18" s="3">
        <f>_xlfn.XLOOKUP(A18,'[1]Road Network'!A:A,'[1]Road Network'!B:B,"n.a.")</f>
        <v>118414</v>
      </c>
      <c r="O18" s="3">
        <f t="shared" si="0"/>
        <v>122021</v>
      </c>
      <c r="P18" s="3">
        <f>SUMIFS('[1]Cement Consumption'!C:C,'[1]Cement Consumption'!A:A,A18)</f>
        <v>28.23</v>
      </c>
    </row>
    <row r="19" spans="1:16" x14ac:dyDescent="0.25">
      <c r="A19" s="1" t="s">
        <v>33</v>
      </c>
      <c r="B19" s="2">
        <v>21000</v>
      </c>
      <c r="C19" s="3">
        <f>_xlfn.XLOOKUP(A19,[1]Population!A:A,[1]Population!B:B,"n.a.",0)</f>
        <v>10606999</v>
      </c>
      <c r="D19" s="3">
        <f>_xlfn.XLOOKUP(A19,[1]Population!A:A,[1]Population!C:C,"n.a.",0)</f>
        <v>410340</v>
      </c>
      <c r="E19" s="3">
        <f>_xlfn.XLOOKUP(A19,[1]Population!A:A,[1]Population!E:E,"n.a.",0)</f>
        <v>9228089</v>
      </c>
      <c r="F19" s="3">
        <f>_xlfn.XLOOKUP(A19,'[1]Vehicles per country'!A:A,'[1]Vehicles per country'!B:B,"n.a.",0)</f>
        <v>7350000</v>
      </c>
      <c r="G19" s="3">
        <f>_xlfn.XLOOKUP(A19,'[1]Number of Households'!A:A,'[1]Number of Households'!B:B,"n.a.",0)</f>
        <v>4776239</v>
      </c>
      <c r="H19" s="3">
        <f>_xlfn.XLOOKUP(A19,'[1]C02 Emissionen'!A:A,'[1]C02 Emissionen'!B:B,"n.a.",0)</f>
        <v>37850250</v>
      </c>
      <c r="I19" s="3">
        <f>_xlfn.XLOOKUP(A19,[1]Airports!A:A,[1]Airports!B:B,"n.a.",0)</f>
        <v>203</v>
      </c>
      <c r="J19" s="3">
        <f>IFERROR(_xlfn.XLOOKUP(A19,'[1]Renewable Energy per capita'!A:A,'[1]Renewable Energy per capita'!M:M,"n.a.",0)*C19,"n.a.")</f>
        <v>2134176312147464</v>
      </c>
      <c r="K19" s="3">
        <f>_xlfn.XLOOKUP(A19,[1]Waterways!A:A,[1]Waterways!B:B,"n.a.",0)</f>
        <v>2052</v>
      </c>
      <c r="L19" s="3">
        <f>SUMIFS('[1]Road &amp; Rail Volumes &lt;24'!E:E,'[1]Road &amp; Rail Volumes &lt;24'!A:A,A19)</f>
        <v>40164.530000000006</v>
      </c>
      <c r="M19" s="3">
        <f>_xlfn.XLOOKUP(A19,'[1]Rail Network'!A:A,'[1]Rail Network'!B:B,"n.a.",0)</f>
        <v>10912</v>
      </c>
      <c r="N19" s="3">
        <f>_xlfn.XLOOKUP(A19,'[1]Road Network'!A:A,'[1]Road Network'!B:B,"n.a.")</f>
        <v>573134</v>
      </c>
      <c r="O19" s="3">
        <f t="shared" si="0"/>
        <v>584046</v>
      </c>
      <c r="P19" s="3">
        <f>SUMIFS('[1]Cement Consumption'!C:C,'[1]Cement Consumption'!A:A,A19)</f>
        <v>11.780000000000001</v>
      </c>
    </row>
    <row r="20" spans="1:16" x14ac:dyDescent="0.25">
      <c r="A20" s="1" t="s">
        <v>34</v>
      </c>
      <c r="B20" s="2">
        <v>19731</v>
      </c>
      <c r="C20" s="3">
        <f>_xlfn.XLOOKUP(A20,[1]Population!A:A,[1]Population!B:B,"n.a.",0)</f>
        <v>5576660</v>
      </c>
      <c r="D20" s="3">
        <f>_xlfn.XLOOKUP(A20,[1]Population!A:A,[1]Population!C:C,"n.a.",0)</f>
        <v>365268</v>
      </c>
      <c r="E20" s="3">
        <f>_xlfn.XLOOKUP(A20,[1]Population!A:A,[1]Population!E:E,"n.a.",0)</f>
        <v>4795928</v>
      </c>
      <c r="F20" s="3">
        <f>_xlfn.XLOOKUP(A20,'[1]Vehicles per country'!A:A,'[1]Vehicles per country'!B:B,"n.a.",0)</f>
        <v>3416216</v>
      </c>
      <c r="G20" s="3">
        <f>_xlfn.XLOOKUP(A20,'[1]Number of Households'!A:A,'[1]Number of Households'!B:B,"n.a.",0)</f>
        <v>2426071</v>
      </c>
      <c r="H20" s="3">
        <f>_xlfn.XLOOKUP(A20,'[1]C02 Emissionen'!A:A,'[1]C02 Emissionen'!B:B,"n.a.",0)</f>
        <v>42283660</v>
      </c>
      <c r="I20" s="3">
        <f>_xlfn.XLOOKUP(A20,[1]Airports!A:A,[1]Airports!B:B,"n.a.",0)</f>
        <v>145</v>
      </c>
      <c r="J20" s="3">
        <f>IFERROR(_xlfn.XLOOKUP(A20,'[1]Renewable Energy per capita'!A:A,'[1]Renewable Energy per capita'!M:M,"n.a.",0)*C20,"n.a.")</f>
        <v>700774862352600</v>
      </c>
      <c r="K20" s="3">
        <f>_xlfn.XLOOKUP(A20,[1]Waterways!A:A,[1]Waterways!B:B,"n.a.",0)</f>
        <v>1577</v>
      </c>
      <c r="L20" s="3">
        <f>SUMIFS('[1]Road &amp; Rail Volumes &lt;24'!E:E,'[1]Road &amp; Rail Volumes &lt;24'!A:A,A20)</f>
        <v>52914.600000000006</v>
      </c>
      <c r="M20" s="3">
        <f>_xlfn.XLOOKUP(A20,'[1]Rail Network'!A:A,'[1]Rail Network'!B:B,"n.a.",0)</f>
        <v>4240</v>
      </c>
      <c r="N20" s="3">
        <f>_xlfn.XLOOKUP(A20,'[1]Road Network'!A:A,'[1]Road Network'!B:B,"n.a.")</f>
        <v>94902</v>
      </c>
      <c r="O20" s="3">
        <f t="shared" si="0"/>
        <v>99142</v>
      </c>
      <c r="P20" s="3">
        <f>SUMIFS('[1]Cement Consumption'!C:C,'[1]Cement Consumption'!A:A,A20)</f>
        <v>8.161999999999999</v>
      </c>
    </row>
    <row r="21" spans="1:16" x14ac:dyDescent="0.25">
      <c r="A21" s="1" t="s">
        <v>35</v>
      </c>
      <c r="B21" s="2">
        <v>13318</v>
      </c>
      <c r="C21" s="3">
        <f>_xlfn.XLOOKUP(A21,[1]Population!A:A,[1]Population!B:B,"n.a.",0)</f>
        <v>9120813</v>
      </c>
      <c r="D21" s="3">
        <f>_xlfn.XLOOKUP(A21,[1]Population!A:A,[1]Population!C:C,"n.a.",0)</f>
        <v>82409</v>
      </c>
      <c r="E21" s="3">
        <f>_xlfn.XLOOKUP(A21,[1]Population!A:A,[1]Population!E:E,"n.a.",0)</f>
        <v>5290072</v>
      </c>
      <c r="F21" s="3">
        <f>_xlfn.XLOOKUP(A21,'[1]Vehicles per country'!A:A,'[1]Vehicles per country'!B:B,"n.a.",0)</f>
        <v>5633525</v>
      </c>
      <c r="G21" s="3">
        <f>_xlfn.XLOOKUP(A21,'[1]Number of Households'!A:A,'[1]Number of Households'!B:B,"n.a.",0)</f>
        <v>3933516</v>
      </c>
      <c r="H21" s="3">
        <f>_xlfn.XLOOKUP(A21,'[1]C02 Emissionen'!A:A,'[1]C02 Emissionen'!B:B,"n.a.",0)</f>
        <v>61174530</v>
      </c>
      <c r="I21" s="3">
        <f>_xlfn.XLOOKUP(A21,[1]Airports!A:A,[1]Airports!B:B,"n.a.",0)</f>
        <v>61</v>
      </c>
      <c r="J21" s="3">
        <f>IFERROR(_xlfn.XLOOKUP(A21,'[1]Renewable Energy per capita'!A:A,'[1]Renewable Energy per capita'!M:M,"n.a.",0)*C21,"n.a.")</f>
        <v>2176390886099040</v>
      </c>
      <c r="K21" s="3">
        <f>_xlfn.XLOOKUP(A21,[1]Waterways!A:A,[1]Waterways!B:B,"n.a.",0)</f>
        <v>358</v>
      </c>
      <c r="L21" s="3">
        <f>SUMIFS('[1]Road &amp; Rail Volumes &lt;24'!E:E,'[1]Road &amp; Rail Volumes &lt;24'!A:A,A21)</f>
        <v>48602.15</v>
      </c>
      <c r="M21" s="3">
        <f>_xlfn.XLOOKUP(A21,'[1]Rail Network'!A:A,'[1]Rail Network'!B:B,"n.a.",0)</f>
        <v>6123</v>
      </c>
      <c r="N21" s="3">
        <f>_xlfn.XLOOKUP(A21,'[1]Road Network'!A:A,'[1]Road Network'!B:B,"n.a.")</f>
        <v>137039</v>
      </c>
      <c r="O21" s="3">
        <f t="shared" si="0"/>
        <v>143162</v>
      </c>
      <c r="P21" s="3">
        <f>SUMIFS('[1]Cement Consumption'!C:C,'[1]Cement Consumption'!A:A,A21)</f>
        <v>26.43</v>
      </c>
    </row>
    <row r="22" spans="1:16" x14ac:dyDescent="0.25">
      <c r="A22" s="1" t="s">
        <v>36</v>
      </c>
      <c r="B22" s="2">
        <v>10000</v>
      </c>
      <c r="C22" s="3">
        <f>_xlfn.XLOOKUP(A22,[1]Population!A:A,[1]Population!B:B,"n.a.",0)</f>
        <v>35557673</v>
      </c>
      <c r="D22" s="3">
        <f>_xlfn.XLOOKUP(A22,[1]Population!A:A,[1]Population!C:C,"n.a.",0)</f>
        <v>328550</v>
      </c>
      <c r="E22" s="3">
        <f>_xlfn.XLOOKUP(A22,[1]Population!A:A,[1]Population!E:E,"n.a.",0)</f>
        <v>27379408</v>
      </c>
      <c r="F22" s="3">
        <f>_xlfn.XLOOKUP(A22,'[1]Vehicles per country'!A:A,'[1]Vehicles per country'!B:B,"n.a.",0)</f>
        <v>17728482</v>
      </c>
      <c r="G22" s="3">
        <f>_xlfn.XLOOKUP(A22,'[1]Number of Households'!A:A,'[1]Number of Households'!B:B,"n.a.",0)</f>
        <v>7176812</v>
      </c>
      <c r="H22" s="3">
        <f>_xlfn.XLOOKUP(A22,'[1]C02 Emissionen'!A:A,'[1]C02 Emissionen'!B:B,"n.a.",0)</f>
        <v>277531770</v>
      </c>
      <c r="I22" s="3">
        <f>_xlfn.XLOOKUP(A22,[1]Airports!A:A,[1]Airports!B:B,"n.a.",0)</f>
        <v>102</v>
      </c>
      <c r="J22" s="3">
        <f>IFERROR(_xlfn.XLOOKUP(A22,'[1]Renewable Energy per capita'!A:A,'[1]Renewable Energy per capita'!M:M,"n.a.",0)*C22,"n.a.")</f>
        <v>6473861782407960</v>
      </c>
      <c r="K22" s="3">
        <f>_xlfn.XLOOKUP(A22,[1]Waterways!A:A,[1]Waterways!B:B,"n.a.",0)</f>
        <v>7200</v>
      </c>
      <c r="L22" s="3">
        <f>SUMIFS('[1]Road &amp; Rail Volumes &lt;24'!E:E,'[1]Road &amp; Rail Volumes &lt;24'!A:A,A22)</f>
        <v>20610.060000000001</v>
      </c>
      <c r="M22" s="3">
        <f>_xlfn.XLOOKUP(A22,'[1]Rail Network'!A:A,'[1]Rail Network'!B:B,"n.a.",0)</f>
        <v>2783</v>
      </c>
      <c r="N22" s="3">
        <f>_xlfn.XLOOKUP(A22,'[1]Road Network'!A:A,'[1]Road Network'!B:B,"n.a.")</f>
        <v>144403</v>
      </c>
      <c r="O22" s="3">
        <f t="shared" si="0"/>
        <v>147186</v>
      </c>
      <c r="P22" s="3">
        <f>SUMIFS('[1]Cement Consumption'!C:C,'[1]Cement Consumption'!A:A,A22)</f>
        <v>75.879000000000005</v>
      </c>
    </row>
    <row r="23" spans="1:16" x14ac:dyDescent="0.25">
      <c r="A23" s="1" t="s">
        <v>37</v>
      </c>
      <c r="B23" s="2">
        <v>10000</v>
      </c>
      <c r="C23" s="3">
        <f>_xlfn.XLOOKUP(A23,[1]Population!A:A,[1]Population!B:B,"n.a.",0)</f>
        <v>5977412</v>
      </c>
      <c r="D23" s="3">
        <f>_xlfn.XLOOKUP(A23,[1]Population!A:A,[1]Population!C:C,"n.a.",0)</f>
        <v>42430</v>
      </c>
      <c r="E23" s="3">
        <f>_xlfn.XLOOKUP(A23,[1]Population!A:A,[1]Population!E:E,"n.a.",0)</f>
        <v>5200348</v>
      </c>
      <c r="F23" s="3">
        <f>_xlfn.XLOOKUP(A23,'[1]Vehicles per country'!A:A,'[1]Vehicles per country'!B:B,"n.a.",0)</f>
        <v>4200000</v>
      </c>
      <c r="G23" s="3"/>
      <c r="H23" s="3">
        <f>_xlfn.XLOOKUP(A23,'[1]C02 Emissionen'!A:A,'[1]C02 Emissionen'!B:B,"n.a.",0)</f>
        <v>29158760</v>
      </c>
      <c r="I23" s="3">
        <f>_xlfn.XLOOKUP(A23,[1]Airports!A:A,[1]Airports!B:B,"n.a.",0)</f>
        <v>99</v>
      </c>
      <c r="J23" s="3">
        <f>IFERROR(_xlfn.XLOOKUP(A23,'[1]Renewable Energy per capita'!A:A,'[1]Renewable Energy per capita'!M:M,"n.a.",0)*C23,"n.a.")</f>
        <v>1412211374408940</v>
      </c>
      <c r="K23" s="3">
        <f>_xlfn.XLOOKUP(A23,[1]Waterways!A:A,[1]Waterways!B:B,"n.a.",0)</f>
        <v>400</v>
      </c>
      <c r="L23" s="3">
        <f>SUMIFS('[1]Road &amp; Rail Volumes &lt;24'!E:E,'[1]Road &amp; Rail Volumes &lt;24'!A:A,A23)</f>
        <v>21259.100000000006</v>
      </c>
      <c r="M23" s="3">
        <f>_xlfn.XLOOKUP(A23,'[1]Rail Network'!A:A,'[1]Rail Network'!B:B,"n.a.",0)</f>
        <v>2682</v>
      </c>
      <c r="N23" s="3">
        <f>_xlfn.XLOOKUP(A23,'[1]Road Network'!A:A,'[1]Road Network'!B:B,"n.a.")</f>
        <v>74558</v>
      </c>
      <c r="O23" s="3">
        <f t="shared" si="0"/>
        <v>77240</v>
      </c>
      <c r="P23" s="3">
        <f>SUMIFS('[1]Cement Consumption'!C:C,'[1]Cement Consumption'!A:A,A23)</f>
        <v>7.8420000000000005</v>
      </c>
    </row>
    <row r="24" spans="1:16" x14ac:dyDescent="0.25">
      <c r="A24" s="1" t="s">
        <v>38</v>
      </c>
      <c r="B24" s="2">
        <v>9500</v>
      </c>
      <c r="C24" s="3">
        <f>_xlfn.XLOOKUP(A24,[1]Population!A:A,[1]Population!B:B,"n.a.",0)</f>
        <v>64007187</v>
      </c>
      <c r="D24" s="3">
        <f>_xlfn.XLOOKUP(A24,[1]Population!A:A,[1]Population!C:C,"n.a.",0)</f>
        <v>1213090</v>
      </c>
      <c r="E24" s="3">
        <f>_xlfn.XLOOKUP(A24,[1]Population!A:A,[1]Population!E:E,"n.a.",0)</f>
        <v>42244743</v>
      </c>
      <c r="F24" s="3">
        <f>_xlfn.XLOOKUP(A24,'[1]Vehicles per country'!A:A,'[1]Vehicles per country'!B:B,"n.a.",0)</f>
        <v>11400000</v>
      </c>
      <c r="G24" s="3">
        <f>_xlfn.XLOOKUP(A24,'[1]Number of Households'!A:A,'[1]Number of Households'!B:B,"n.a.",0)</f>
        <v>17733119</v>
      </c>
      <c r="H24" s="3">
        <f>_xlfn.XLOOKUP(A24,'[1]C02 Emissionen'!A:A,'[1]C02 Emissionen'!B:B,"n.a.",0)</f>
        <v>404974510</v>
      </c>
      <c r="I24" s="3">
        <f>_xlfn.XLOOKUP(A24,[1]Airports!A:A,[1]Airports!B:B,"n.a.",0)</f>
        <v>575</v>
      </c>
      <c r="J24" s="3">
        <f>IFERROR(_xlfn.XLOOKUP(A24,'[1]Renewable Energy per capita'!A:A,'[1]Renewable Energy per capita'!M:M,"n.a.",0)*C24,"n.a.")</f>
        <v>1.2392165781236764E+16</v>
      </c>
      <c r="K24" s="3"/>
      <c r="L24" s="3">
        <f>SUMIFS('[1]Road &amp; Rail Volumes &lt;24'!E:E,'[1]Road &amp; Rail Volumes &lt;24'!A:A,A24)</f>
        <v>16740.910000000003</v>
      </c>
      <c r="M24" s="3">
        <f>_xlfn.XLOOKUP(A24,'[1]Rail Network'!A:A,'[1]Rail Network'!B:B,"n.a.",0)</f>
        <v>30400</v>
      </c>
      <c r="N24" s="3">
        <f>_xlfn.XLOOKUP(A24,'[1]Road Network'!A:A,'[1]Road Network'!B:B,"n.a.")</f>
        <v>750000</v>
      </c>
      <c r="O24" s="3">
        <f t="shared" si="0"/>
        <v>780400</v>
      </c>
      <c r="P24" s="3">
        <f>SUMIFS('[1]Cement Consumption'!C:C,'[1]Cement Consumption'!A:A,A24)</f>
        <v>53.061999999999998</v>
      </c>
    </row>
    <row r="25" spans="1:16" x14ac:dyDescent="0.25">
      <c r="A25" s="1" t="s">
        <v>39</v>
      </c>
      <c r="B25" s="2">
        <v>32605</v>
      </c>
      <c r="C25" s="3">
        <f>_xlfn.XLOOKUP(A25,[1]Population!A:A,[1]Population!B:B,"n.a.",0)</f>
        <v>19015088</v>
      </c>
      <c r="D25" s="3">
        <f>_xlfn.XLOOKUP(A25,[1]Population!A:A,[1]Population!C:C,"n.a.",0)</f>
        <v>230170</v>
      </c>
      <c r="E25" s="3">
        <f>_xlfn.XLOOKUP(A25,[1]Population!A:A,[1]Population!E:E,"n.a.",0)</f>
        <v>10458298</v>
      </c>
      <c r="F25" s="3">
        <f>_xlfn.XLOOKUP(A25,'[1]Vehicles per country'!A:A,'[1]Vehicles per country'!B:B,"n.a.",0)</f>
        <v>8502571</v>
      </c>
      <c r="G25" s="3">
        <f>_xlfn.XLOOKUP(A25,'[1]Number of Households'!A:A,'[1]Number of Households'!B:B,"n.a.",0)</f>
        <v>6709224</v>
      </c>
      <c r="H25" s="3">
        <f>_xlfn.XLOOKUP(A25,'[1]C02 Emissionen'!A:A,'[1]C02 Emissionen'!B:B,"n.a.",0)</f>
        <v>77289010</v>
      </c>
      <c r="I25" s="3">
        <f>_xlfn.XLOOKUP(A25,[1]Airports!A:A,[1]Airports!B:B,"n.a.",0)</f>
        <v>82</v>
      </c>
      <c r="J25" s="3">
        <f>IFERROR(_xlfn.XLOOKUP(A25,'[1]Renewable Energy per capita'!A:A,'[1]Renewable Energy per capita'!M:M,"n.a.",0)*C25,"n.a.")</f>
        <v>4363676100593664</v>
      </c>
      <c r="K25" s="3">
        <f>_xlfn.XLOOKUP(A25,[1]Waterways!A:A,[1]Waterways!B:B,"n.a.",0)</f>
        <v>1731</v>
      </c>
      <c r="L25" s="3">
        <f>SUMIFS('[1]Road &amp; Rail Volumes &lt;24'!E:E,'[1]Road &amp; Rail Volumes &lt;24'!A:A,A25)</f>
        <v>33189.21</v>
      </c>
      <c r="M25" s="3">
        <f>_xlfn.XLOOKUP(A25,'[1]Rail Network'!A:A,'[1]Rail Network'!B:B,"n.a.",0)</f>
        <v>20077</v>
      </c>
      <c r="N25" s="3">
        <f>_xlfn.XLOOKUP(A25,'[1]Road Network'!A:A,'[1]Road Network'!B:B,"n.a.")</f>
        <v>84185</v>
      </c>
      <c r="O25" s="3">
        <f t="shared" si="0"/>
        <v>104262</v>
      </c>
      <c r="P25" s="3">
        <f>SUMIFS('[1]Cement Consumption'!C:C,'[1]Cement Consumption'!A:A,A25)</f>
        <v>44.499000000000009</v>
      </c>
    </row>
    <row r="26" spans="1:16" x14ac:dyDescent="0.25">
      <c r="A26" s="1" t="s">
        <v>40</v>
      </c>
      <c r="B26" s="2">
        <v>12000</v>
      </c>
      <c r="C26" s="3">
        <f>_xlfn.XLOOKUP(A26,[1]Population!A:A,[1]Population!B:B,"n.a.",0)</f>
        <v>19764771</v>
      </c>
      <c r="D26" s="3">
        <f>_xlfn.XLOOKUP(A26,[1]Population!A:A,[1]Population!C:C,"n.a.",0)</f>
        <v>743532</v>
      </c>
      <c r="E26" s="3">
        <f>_xlfn.XLOOKUP(A26,[1]Population!A:A,[1]Population!E:E,"n.a.",0)</f>
        <v>16800055</v>
      </c>
      <c r="F26" s="3">
        <f>_xlfn.XLOOKUP(A26,'[1]Vehicles per country'!A:A,'[1]Vehicles per country'!B:B,"n.a.",0)</f>
        <v>8800000</v>
      </c>
      <c r="G26" s="3">
        <f>_xlfn.XLOOKUP(A26,'[1]Number of Households'!A:A,'[1]Number of Households'!B:B,"n.a.",0)</f>
        <v>5440715</v>
      </c>
      <c r="H26" s="3">
        <f>_xlfn.XLOOKUP(A26,'[1]C02 Emissionen'!A:A,'[1]C02 Emissionen'!B:B,"n.a.",0)</f>
        <v>92858760</v>
      </c>
      <c r="I26" s="3">
        <f>_xlfn.XLOOKUP(A26,[1]Airports!A:A,[1]Airports!B:B,"n.a.",0)</f>
        <v>374</v>
      </c>
      <c r="J26" s="3">
        <f>IFERROR(_xlfn.XLOOKUP(A26,'[1]Renewable Energy per capita'!A:A,'[1]Renewable Energy per capita'!M:M,"n.a.",0)*C26,"n.a.")</f>
        <v>3859497409270737</v>
      </c>
      <c r="K26" s="3"/>
      <c r="L26" s="3">
        <f>SUMIFS('[1]Road &amp; Rail Volumes &lt;24'!E:E,'[1]Road &amp; Rail Volumes &lt;24'!A:A,A26)</f>
        <v>24219.82</v>
      </c>
      <c r="M26" s="3">
        <f>_xlfn.XLOOKUP(A26,'[1]Rail Network'!A:A,'[1]Rail Network'!B:B,"n.a.",0)</f>
        <v>7282</v>
      </c>
      <c r="N26" s="3">
        <f>_xlfn.XLOOKUP(A26,'[1]Road Network'!A:A,'[1]Road Network'!B:B,"n.a.")</f>
        <v>77801</v>
      </c>
      <c r="O26" s="3">
        <f t="shared" si="0"/>
        <v>85083</v>
      </c>
      <c r="P26" s="3">
        <f>SUMIFS('[1]Cement Consumption'!C:C,'[1]Cement Consumption'!A:A,A26)</f>
        <v>16.564</v>
      </c>
    </row>
    <row r="27" spans="1:16" x14ac:dyDescent="0.25">
      <c r="A27" s="1" t="s">
        <v>41</v>
      </c>
      <c r="B27" s="2">
        <v>14733</v>
      </c>
      <c r="C27" s="3">
        <f>_xlfn.XLOOKUP(A27,[1]Population!A:A,[1]Population!B:B,"n.a.",0)</f>
        <v>10735859</v>
      </c>
      <c r="D27" s="3">
        <f>_xlfn.XLOOKUP(A27,[1]Population!A:A,[1]Population!C:C,"n.a.",0)</f>
        <v>77240</v>
      </c>
      <c r="E27" s="3">
        <f>_xlfn.XLOOKUP(A27,[1]Population!A:A,[1]Population!E:E,"n.a.",0)</f>
        <v>7944536</v>
      </c>
      <c r="F27" s="3">
        <f>_xlfn.XLOOKUP(A27,'[1]Vehicles per country'!A:A,'[1]Vehicles per country'!B:B,"n.a.",0)</f>
        <v>6931618</v>
      </c>
      <c r="G27" s="3">
        <f>_xlfn.XLOOKUP(A27,'[1]Number of Households'!A:A,'[1]Number of Households'!B:B,"n.a.",0)</f>
        <v>4465680</v>
      </c>
      <c r="H27" s="3">
        <f>_xlfn.XLOOKUP(A27,'[1]C02 Emissionen'!A:A,'[1]C02 Emissionen'!B:B,"n.a.",0)</f>
        <v>101544650</v>
      </c>
      <c r="I27" s="3">
        <f>_xlfn.XLOOKUP(A27,[1]Airports!A:A,[1]Airports!B:B,"n.a.",0)</f>
        <v>243</v>
      </c>
      <c r="J27" s="3">
        <f>IFERROR(_xlfn.XLOOKUP(A27,'[1]Renewable Energy per capita'!A:A,'[1]Renewable Energy per capita'!M:M,"n.a.",0)*C27,"n.a.")</f>
        <v>1146288235335844</v>
      </c>
      <c r="K27" s="3">
        <f>_xlfn.XLOOKUP(A27,[1]Waterways!A:A,[1]Waterways!B:B,"n.a.",0)</f>
        <v>664</v>
      </c>
      <c r="L27" s="3">
        <f>SUMIFS('[1]Road &amp; Rail Volumes &lt;24'!E:E,'[1]Road &amp; Rail Volumes &lt;24'!A:A,A27)</f>
        <v>73333.109999999986</v>
      </c>
      <c r="M27" s="3">
        <f>_xlfn.XLOOKUP(A27,'[1]Rail Network'!A:A,'[1]Rail Network'!B:B,"n.a.",0)</f>
        <v>9567</v>
      </c>
      <c r="N27" s="3">
        <f>_xlfn.XLOOKUP(A27,'[1]Road Network'!A:A,'[1]Road Network'!B:B,"n.a.")</f>
        <v>55744</v>
      </c>
      <c r="O27" s="3">
        <f t="shared" si="0"/>
        <v>65311</v>
      </c>
      <c r="P27" s="3">
        <f>SUMIFS('[1]Cement Consumption'!C:C,'[1]Cement Consumption'!A:A,A27)</f>
        <v>18.547999999999998</v>
      </c>
    </row>
    <row r="28" spans="1:16" x14ac:dyDescent="0.25">
      <c r="A28" s="1" t="s">
        <v>42</v>
      </c>
      <c r="B28" s="2">
        <v>15160</v>
      </c>
      <c r="C28" s="3">
        <f>_xlfn.XLOOKUP(A28,[1]Population!A:A,[1]Population!B:B,"n.a.",0)</f>
        <v>5617310</v>
      </c>
      <c r="D28" s="3">
        <f>_xlfn.XLOOKUP(A28,[1]Population!A:A,[1]Population!C:C,"n.a.",0)</f>
        <v>303890</v>
      </c>
      <c r="E28" s="3">
        <f>_xlfn.XLOOKUP(A28,[1]Population!A:A,[1]Population!E:E,"n.a.",0)</f>
        <v>4830887</v>
      </c>
      <c r="F28" s="3">
        <f>_xlfn.XLOOKUP(A28,'[1]Vehicles per country'!A:A,'[1]Vehicles per country'!B:B,"n.a.",0)</f>
        <v>4400000</v>
      </c>
      <c r="G28" s="3">
        <f>_xlfn.XLOOKUP(A28,'[1]Number of Households'!A:A,'[1]Number of Households'!B:B,"n.a.",0)</f>
        <v>2652262</v>
      </c>
      <c r="H28" s="3">
        <f>_xlfn.XLOOKUP(A28,'[1]C02 Emissionen'!A:A,'[1]C02 Emissionen'!B:B,"n.a.",0)</f>
        <v>37324670</v>
      </c>
      <c r="I28" s="3">
        <f>_xlfn.XLOOKUP(A28,[1]Airports!A:A,[1]Airports!B:B,"n.a.",0)</f>
        <v>98</v>
      </c>
      <c r="J28" s="3">
        <f>IFERROR(_xlfn.XLOOKUP(A28,'[1]Renewable Energy per capita'!A:A,'[1]Renewable Energy per capita'!M:M,"n.a.",0)*C28,"n.a.")</f>
        <v>1757778346294370</v>
      </c>
      <c r="K28" s="3">
        <f>_xlfn.XLOOKUP(A28,[1]Waterways!A:A,[1]Waterways!B:B,"n.a.",0)</f>
        <v>8000</v>
      </c>
      <c r="L28" s="3">
        <f>SUMIFS('[1]Road &amp; Rail Volumes &lt;24'!E:E,'[1]Road &amp; Rail Volumes &lt;24'!A:A,A28)</f>
        <v>17852.88</v>
      </c>
      <c r="M28" s="3">
        <f>_xlfn.XLOOKUP(A28,'[1]Rail Network'!A:A,'[1]Rail Network'!B:B,"n.a.",0)</f>
        <v>5926</v>
      </c>
      <c r="N28" s="3">
        <f>_xlfn.XLOOKUP(A28,'[1]Road Network'!A:A,'[1]Road Network'!B:B,"n.a.")</f>
        <v>454000</v>
      </c>
      <c r="O28" s="3">
        <f t="shared" si="0"/>
        <v>459926</v>
      </c>
      <c r="P28" s="3">
        <f>SUMIFS('[1]Cement Consumption'!C:C,'[1]Cement Consumption'!A:A,A28)</f>
        <v>8.0809999999999995</v>
      </c>
    </row>
    <row r="29" spans="1:16" x14ac:dyDescent="0.25">
      <c r="A29" s="1" t="s">
        <v>43</v>
      </c>
      <c r="B29" s="2">
        <v>7800</v>
      </c>
      <c r="C29" s="3">
        <f>_xlfn.XLOOKUP(A29,[1]Population!A:A,[1]Population!B:B,"n.a.",0)</f>
        <v>10425292</v>
      </c>
      <c r="D29" s="3">
        <f>_xlfn.XLOOKUP(A29,[1]Population!A:A,[1]Population!C:C,"n.a.",0)</f>
        <v>91590</v>
      </c>
      <c r="E29" s="3">
        <f>_xlfn.XLOOKUP(A29,[1]Population!A:A,[1]Population!E:E,"n.a.",0)</f>
        <v>6880693</v>
      </c>
      <c r="F29" s="3">
        <f>_xlfn.XLOOKUP(A29,'[1]Vehicles per country'!A:A,'[1]Vehicles per country'!B:B,"n.a.",0)</f>
        <v>6591000</v>
      </c>
      <c r="G29" s="3">
        <f>_xlfn.XLOOKUP(A29,'[1]Number of Households'!A:A,'[1]Number of Households'!B:B,"n.a.",0)</f>
        <v>3876822</v>
      </c>
      <c r="H29" s="3">
        <f>_xlfn.XLOOKUP(A29,'[1]C02 Emissionen'!A:A,'[1]C02 Emissionen'!B:B,"n.a.",0)</f>
        <v>41281720</v>
      </c>
      <c r="I29" s="3">
        <f>_xlfn.XLOOKUP(A29,[1]Airports!A:A,[1]Airports!B:B,"n.a.",0)</f>
        <v>130</v>
      </c>
      <c r="J29" s="3">
        <f>IFERROR(_xlfn.XLOOKUP(A29,'[1]Renewable Energy per capita'!A:A,'[1]Renewable Energy per capita'!M:M,"n.a.",0)*C29,"n.a.")</f>
        <v>1526924442083240</v>
      </c>
      <c r="K29" s="3">
        <f>_xlfn.XLOOKUP(A29,[1]Waterways!A:A,[1]Waterways!B:B,"n.a.",0)</f>
        <v>210</v>
      </c>
      <c r="L29" s="3">
        <f>SUMIFS('[1]Road &amp; Rail Volumes &lt;24'!E:E,'[1]Road &amp; Rail Volumes &lt;24'!A:A,A29)</f>
        <v>19863.710000000006</v>
      </c>
      <c r="M29" s="3">
        <f>_xlfn.XLOOKUP(A29,'[1]Rail Network'!A:A,'[1]Rail Network'!B:B,"n.a.",0)</f>
        <v>3622</v>
      </c>
      <c r="N29" s="3">
        <f>_xlfn.XLOOKUP(A29,'[1]Road Network'!A:A,'[1]Road Network'!B:B,"n.a.")</f>
        <v>136635</v>
      </c>
      <c r="O29" s="3">
        <f t="shared" si="0"/>
        <v>140257</v>
      </c>
      <c r="P29" s="3">
        <f>SUMIFS('[1]Cement Consumption'!C:C,'[1]Cement Consumption'!A:A,A29)</f>
        <v>17.86</v>
      </c>
    </row>
    <row r="30" spans="1:16" x14ac:dyDescent="0.25">
      <c r="A30" s="1" t="s">
        <v>44</v>
      </c>
      <c r="B30" s="2">
        <v>17000</v>
      </c>
      <c r="C30" s="3">
        <f>_xlfn.XLOOKUP(A30,[1]Population!A:A,[1]Population!B:B,"n.a.",0)</f>
        <v>10047817</v>
      </c>
      <c r="D30" s="3">
        <f>_xlfn.XLOOKUP(A30,[1]Population!A:A,[1]Population!C:C,"n.a.",0)</f>
        <v>128900</v>
      </c>
      <c r="E30" s="3">
        <f>_xlfn.XLOOKUP(A30,[1]Population!A:A,[1]Population!E:E,"n.a.",0)</f>
        <v>8842079</v>
      </c>
      <c r="F30" s="3">
        <f>_xlfn.XLOOKUP(A30,'[1]Vehicles per country'!A:A,'[1]Vehicles per country'!B:B,"n.a.",0)</f>
        <v>6491063</v>
      </c>
      <c r="G30" s="3">
        <f>_xlfn.XLOOKUP(A30,'[1]Number of Households'!A:A,'[1]Number of Households'!B:B,"n.a.",0)</f>
        <v>4394506</v>
      </c>
      <c r="H30" s="3">
        <f>_xlfn.XLOOKUP(A30,'[1]C02 Emissionen'!A:A,'[1]C02 Emissionen'!B:B,"n.a.",0)</f>
        <v>56777160</v>
      </c>
      <c r="I30" s="3">
        <f>_xlfn.XLOOKUP(A30,[1]Airports!A:A,[1]Airports!B:B,"n.a.",0)</f>
        <v>81</v>
      </c>
      <c r="J30" s="3">
        <f>IFERROR(_xlfn.XLOOKUP(A30,'[1]Renewable Energy per capita'!A:A,'[1]Renewable Energy per capita'!M:M,"n.a.",0)*C30,"n.a.")</f>
        <v>2152629744745350</v>
      </c>
      <c r="K30" s="3">
        <f>_xlfn.XLOOKUP(A30,[1]Waterways!A:A,[1]Waterways!B:B,"n.a.",0)</f>
        <v>6</v>
      </c>
      <c r="L30" s="3">
        <f>SUMIFS('[1]Road &amp; Rail Volumes &lt;24'!E:E,'[1]Road &amp; Rail Volumes &lt;24'!A:A,A30)</f>
        <v>6784.76</v>
      </c>
      <c r="M30" s="3">
        <f>_xlfn.XLOOKUP(A30,'[1]Rail Network'!A:A,'[1]Rail Network'!B:B,"n.a.",0)</f>
        <v>2345</v>
      </c>
      <c r="N30" s="3">
        <f>_xlfn.XLOOKUP(A30,'[1]Road Network'!A:A,'[1]Road Network'!B:B,"n.a.")</f>
        <v>117000</v>
      </c>
      <c r="O30" s="3">
        <f t="shared" si="0"/>
        <v>119345</v>
      </c>
      <c r="P30" s="3">
        <f>SUMIFS('[1]Cement Consumption'!C:C,'[1]Cement Consumption'!A:A,A30)</f>
        <v>13.219000000000001</v>
      </c>
    </row>
    <row r="31" spans="1:16" x14ac:dyDescent="0.25">
      <c r="A31" s="1" t="s">
        <v>45</v>
      </c>
      <c r="B31" s="2">
        <v>28454</v>
      </c>
      <c r="C31" s="3">
        <f>_xlfn.XLOOKUP(A31,[1]Population!A:A,[1]Population!B:B,"n.a.",0)</f>
        <v>37860221</v>
      </c>
      <c r="D31" s="3">
        <f>_xlfn.XLOOKUP(A31,[1]Population!A:A,[1]Population!C:C,"n.a.",0)</f>
        <v>579320</v>
      </c>
      <c r="E31" s="3">
        <f>_xlfn.XLOOKUP(A31,[1]Population!A:A,[1]Population!E:E,"n.a.",0)</f>
        <v>29909575</v>
      </c>
      <c r="F31" s="3">
        <f>_xlfn.XLOOKUP(A31,'[1]Vehicles per country'!A:A,'[1]Vehicles per country'!B:B,"n.a.",0)</f>
        <v>12000000</v>
      </c>
      <c r="G31" s="3">
        <f>_xlfn.XLOOKUP(A31,'[1]Number of Households'!A:A,'[1]Number of Households'!B:B,"n.a.",0)</f>
        <v>16972715</v>
      </c>
      <c r="H31" s="3">
        <f>_xlfn.XLOOKUP(A31,'[1]C02 Emissionen'!A:A,'[1]C02 Emissionen'!B:B,"n.a.",0)</f>
        <v>132541470</v>
      </c>
      <c r="I31" s="3">
        <f>_xlfn.XLOOKUP(A31,[1]Airports!A:A,[1]Airports!B:B,"n.a.",0)</f>
        <v>148</v>
      </c>
      <c r="J31" s="3">
        <f>IFERROR(_xlfn.XLOOKUP(A31,'[1]Renewable Energy per capita'!A:A,'[1]Renewable Energy per capita'!M:M,"n.a.",0)*C31,"n.a.")</f>
        <v>5295863634379444</v>
      </c>
      <c r="K31" s="3">
        <f>_xlfn.XLOOKUP(A31,[1]Waterways!A:A,[1]Waterways!B:B,"n.a.",0)</f>
        <v>1672</v>
      </c>
      <c r="L31" s="3">
        <f>SUMIFS('[1]Road &amp; Rail Volumes &lt;24'!E:E,'[1]Road &amp; Rail Volumes &lt;24'!A:A,A31)</f>
        <v>26119.55</v>
      </c>
      <c r="M31" s="3">
        <f>_xlfn.XLOOKUP(A31,'[1]Rail Network'!A:A,'[1]Rail Network'!B:B,"n.a.",0)</f>
        <v>21733</v>
      </c>
      <c r="N31" s="3">
        <f>_xlfn.XLOOKUP(A31,'[1]Road Network'!A:A,'[1]Road Network'!B:B,"n.a.")</f>
        <v>169694</v>
      </c>
      <c r="O31" s="3">
        <f t="shared" si="0"/>
        <v>191427</v>
      </c>
      <c r="P31" s="3">
        <f>SUMIFS('[1]Cement Consumption'!C:C,'[1]Cement Consumption'!A:A,A31)</f>
        <v>27.306000000000001</v>
      </c>
    </row>
    <row r="32" spans="1:16" x14ac:dyDescent="0.25">
      <c r="A32" s="1" t="s">
        <v>46</v>
      </c>
      <c r="B32" s="2">
        <v>23000</v>
      </c>
      <c r="C32" s="3">
        <f>_xlfn.XLOOKUP(A32,[1]Population!A:A,[1]Population!B:B,"n.a.",0)</f>
        <v>5506760</v>
      </c>
      <c r="D32" s="3">
        <f>_xlfn.XLOOKUP(A32,[1]Population!A:A,[1]Population!C:C,"n.a.",0)</f>
        <v>48088</v>
      </c>
      <c r="E32" s="3">
        <f>_xlfn.XLOOKUP(A32,[1]Population!A:A,[1]Population!E:E,"n.a.",0)</f>
        <v>2973650</v>
      </c>
      <c r="F32" s="3">
        <f>_xlfn.XLOOKUP(A32,'[1]Vehicles per country'!A:A,'[1]Vehicles per country'!B:B,"n.a.",0)</f>
        <v>3335000</v>
      </c>
      <c r="G32" s="3">
        <f>_xlfn.XLOOKUP(A32,'[1]Number of Households'!A:A,'[1]Number of Households'!B:B,"n.a.",0)</f>
        <v>1948989</v>
      </c>
      <c r="H32" s="3">
        <f>_xlfn.XLOOKUP(A32,'[1]C02 Emissionen'!A:A,'[1]C02 Emissionen'!B:B,"n.a.",0)</f>
        <v>35233230</v>
      </c>
      <c r="I32" s="3">
        <f>_xlfn.XLOOKUP(A32,[1]Airports!A:A,[1]Airports!B:B,"n.a.",0)</f>
        <v>114</v>
      </c>
      <c r="J32" s="3">
        <f>IFERROR(_xlfn.XLOOKUP(A32,'[1]Renewable Energy per capita'!A:A,'[1]Renewable Energy per capita'!M:M,"n.a.",0)*C32,"n.a.")</f>
        <v>1466865083818680</v>
      </c>
      <c r="K32" s="3">
        <f>_xlfn.XLOOKUP(A32,[1]Waterways!A:A,[1]Waterways!B:B,"n.a.",0)</f>
        <v>172</v>
      </c>
      <c r="L32" s="3">
        <f>SUMIFS('[1]Road &amp; Rail Volumes &lt;24'!E:E,'[1]Road &amp; Rail Volumes &lt;24'!A:A,A32)</f>
        <v>20402.87</v>
      </c>
      <c r="M32" s="3">
        <f>_xlfn.XLOOKUP(A32,'[1]Rail Network'!A:A,'[1]Rail Network'!B:B,"n.a.",0)</f>
        <v>3627</v>
      </c>
      <c r="N32" s="3">
        <f>_xlfn.XLOOKUP(A32,'[1]Road Network'!A:A,'[1]Road Network'!B:B,"n.a.")</f>
        <v>56926</v>
      </c>
      <c r="O32" s="3">
        <f t="shared" si="0"/>
        <v>60553</v>
      </c>
      <c r="P32" s="3">
        <f>SUMIFS('[1]Cement Consumption'!C:C,'[1]Cement Consumption'!A:A,A32)</f>
        <v>9.2799999999999994</v>
      </c>
    </row>
    <row r="33" spans="1:16" x14ac:dyDescent="0.25">
      <c r="A33" s="1" t="s">
        <v>47</v>
      </c>
      <c r="B33" s="2">
        <v>1953</v>
      </c>
      <c r="C33" s="3">
        <f>_xlfn.XLOOKUP(A33,[1]Population!A:A,[1]Population!B:B,"n.a.",0)</f>
        <v>2859110</v>
      </c>
      <c r="D33" s="3">
        <f>_xlfn.XLOOKUP(A33,[1]Population!A:A,[1]Population!C:C,"n.a.",0)</f>
        <v>62674</v>
      </c>
      <c r="E33" s="3">
        <f>_xlfn.XLOOKUP(A33,[1]Population!A:A,[1]Population!E:E,"n.a.",0)</f>
        <v>1944195</v>
      </c>
      <c r="F33" s="3">
        <f>_xlfn.XLOOKUP(A33,'[1]Vehicles per country'!A:A,'[1]Vehicles per country'!B:B,"n.a.",0)</f>
        <v>1416467</v>
      </c>
      <c r="G33" s="3">
        <f>_xlfn.XLOOKUP(A33,'[1]Number of Households'!A:A,'[1]Number of Households'!B:B,"n.a.",0)</f>
        <v>1204383</v>
      </c>
      <c r="H33" s="3">
        <f>_xlfn.XLOOKUP(A33,'[1]C02 Emissionen'!A:A,'[1]C02 Emissionen'!B:B,"n.a.",0)</f>
        <v>13263810</v>
      </c>
      <c r="I33" s="3">
        <f>_xlfn.XLOOKUP(A33,[1]Airports!A:A,[1]Airports!B:B,"n.a.",0)</f>
        <v>65</v>
      </c>
      <c r="J33" s="3">
        <f>IFERROR(_xlfn.XLOOKUP(A33,'[1]Renewable Energy per capita'!A:A,'[1]Renewable Energy per capita'!M:M,"n.a.",0)*C33,"n.a.")</f>
        <v>584790030917680</v>
      </c>
      <c r="K33" s="3">
        <f>_xlfn.XLOOKUP(A33,[1]Waterways!A:A,[1]Waterways!B:B,"n.a.",0)</f>
        <v>441</v>
      </c>
      <c r="L33" s="3">
        <f>SUMIFS('[1]Road &amp; Rail Volumes &lt;24'!E:E,'[1]Road &amp; Rail Volumes &lt;24'!A:A,A33)</f>
        <v>5602.7500000000018</v>
      </c>
      <c r="M33" s="3">
        <f>_xlfn.XLOOKUP(A33,'[1]Rail Network'!A:A,'[1]Rail Network'!B:B,"n.a.",0)</f>
        <v>1911</v>
      </c>
      <c r="N33" s="3">
        <f>_xlfn.XLOOKUP(A33,'[1]Road Network'!A:A,'[1]Road Network'!B:B,"n.a.")</f>
        <v>84166</v>
      </c>
      <c r="O33" s="3">
        <f t="shared" si="0"/>
        <v>86077</v>
      </c>
      <c r="P33" s="3">
        <f>SUMIFS('[1]Cement Consumption'!C:C,'[1]Cement Consumption'!A:A,A33)</f>
        <v>4.484</v>
      </c>
    </row>
    <row r="34" spans="1:16" x14ac:dyDescent="0.25">
      <c r="A34" s="1" t="s">
        <v>48</v>
      </c>
      <c r="B34" s="2">
        <f>3465+956</f>
        <v>4421</v>
      </c>
      <c r="C34" s="3">
        <f>_xlfn.XLOOKUP(A34,[1]Population!A:A,[1]Population!B:B,"n.a.",0)</f>
        <v>6736216</v>
      </c>
      <c r="D34" s="3">
        <f>_xlfn.XLOOKUP(A34,[1]Population!A:A,[1]Population!C:C,"n.a.",0)</f>
        <v>87460</v>
      </c>
      <c r="E34" s="3">
        <f>_xlfn.XLOOKUP(A34,[1]Population!A:A,[1]Population!E:E,"n.a.",0)</f>
        <v>4917438</v>
      </c>
      <c r="F34" s="3">
        <f>_xlfn.XLOOKUP(A34,'[1]Vehicles per country'!A:A,'[1]Vehicles per country'!B:B,"n.a.",0)</f>
        <v>2607956</v>
      </c>
      <c r="G34" s="3">
        <f>_xlfn.XLOOKUP(A34,'[1]Number of Households'!A:A,'[1]Number of Households'!B:B,"n.a.",0)</f>
        <v>2405804</v>
      </c>
      <c r="H34" s="3"/>
      <c r="I34" s="3">
        <f>_xlfn.XLOOKUP(A34,[1]Airports!A:A,[1]Airports!B:B,"n.a.",0)</f>
        <v>43</v>
      </c>
      <c r="J34" s="3">
        <f>IFERROR(_xlfn.XLOOKUP(A34,'[1]Renewable Energy per capita'!A:A,'[1]Renewable Energy per capita'!M:M,"n.a.",0)*C34,"n.a.")</f>
        <v>892687918210664</v>
      </c>
      <c r="K34" s="3">
        <f>_xlfn.XLOOKUP(A34,[1]Waterways!A:A,[1]Waterways!B:B,"n.a.",0)</f>
        <v>587</v>
      </c>
      <c r="L34" s="3">
        <f>SUMIFS('[1]Road &amp; Rail Volumes &lt;24'!E:E,'[1]Road &amp; Rail Volumes &lt;24'!A:A,A34)</f>
        <v>0</v>
      </c>
      <c r="M34" s="3">
        <f>_xlfn.XLOOKUP(A34,'[1]Rail Network'!A:A,'[1]Rail Network'!B:B,"n.a.",0)</f>
        <v>3764</v>
      </c>
      <c r="N34" s="3">
        <f>_xlfn.XLOOKUP(A34,'[1]Road Network'!A:A,'[1]Road Network'!B:B,"n.a.")</f>
        <v>44248</v>
      </c>
      <c r="O34" s="3">
        <f t="shared" si="0"/>
        <v>48012</v>
      </c>
      <c r="P34" s="3">
        <f>SUMIFS('[1]Cement Consumption'!C:C,'[1]Cement Consumption'!A:A,A34)</f>
        <v>12.326000000000001</v>
      </c>
    </row>
  </sheetData>
  <conditionalFormatting sqref="C2:P34">
    <cfRule type="cellIs" dxfId="0" priority="1" operator="equal">
      <formula>"n.a."</formula>
    </cfRule>
  </conditionalFormatting>
  <pageMargins left="0.7" right="0.7" top="0.78740157499999996" bottom="0.78740157499999996" header="0.3" footer="0.3"/>
</worksheet>
</file>

<file path=docMetadata/LabelInfo.xml><?xml version="1.0" encoding="utf-8"?>
<clbl:labelList xmlns:clbl="http://schemas.microsoft.com/office/2020/mipLabelMetadata">
  <clbl:label id="{5c8251e0-caf7-4748-8ff8-439e3f55cda8}" enabled="1" method="Standard" siteId="{975d243a-4e65-46df-b77f-8f73a893ca23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Company>PERI Group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Karavangelis, Radoslav</dc:creator>
  <cp:lastModifiedBy>Karavangelis, Radoslav</cp:lastModifiedBy>
  <dcterms:created xsi:type="dcterms:W3CDTF">2026-09-14T13:49:37Z</dcterms:created>
  <dcterms:modified xsi:type="dcterms:W3CDTF">2026-09-14T13:50:26Z</dcterms:modified>
</cp:coreProperties>
</file>